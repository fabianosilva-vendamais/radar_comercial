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VendaMais\Projetos\Radar Comercial\"/>
    </mc:Choice>
  </mc:AlternateContent>
  <xr:revisionPtr revIDLastSave="0" documentId="13_ncr:1_{9585A8FD-4104-459A-8FC3-6BAC8A69FF75}" xr6:coauthVersionLast="47" xr6:coauthVersionMax="47" xr10:uidLastSave="{00000000-0000-0000-0000-000000000000}"/>
  <bookViews>
    <workbookView xWindow="-120" yWindow="-120" windowWidth="29040" windowHeight="15720" xr2:uid="{9D6A97DF-B8E4-4BAC-9AFA-8A87867138A9}"/>
  </bookViews>
  <sheets>
    <sheet name="Dados" sheetId="1" r:id="rId1"/>
  </sheets>
  <calcPr calcId="191029"/>
</workbook>
</file>

<file path=xl/calcChain.xml><?xml version="1.0" encoding="utf-8"?>
<calcChain xmlns="http://schemas.openxmlformats.org/spreadsheetml/2006/main">
  <c r="H32" i="1" l="1"/>
  <c r="H20" i="1"/>
  <c r="H50" i="1"/>
  <c r="H65" i="1"/>
</calcChain>
</file>

<file path=xl/sharedStrings.xml><?xml version="1.0" encoding="utf-8"?>
<sst xmlns="http://schemas.openxmlformats.org/spreadsheetml/2006/main" count="1692" uniqueCount="1251">
  <si>
    <t>Responsável</t>
  </si>
  <si>
    <t>Nome do negócio</t>
  </si>
  <si>
    <t>Empresa</t>
  </si>
  <si>
    <t>Criado</t>
  </si>
  <si>
    <t>Data de fechamento</t>
  </si>
  <si>
    <t>Quantas pessoas tem na sua equipe comercial</t>
  </si>
  <si>
    <t>E-mail do contato</t>
  </si>
  <si>
    <t>Telefone do contato</t>
  </si>
  <si>
    <t>Como funciona o negócio do cliente hoje? (O que ele vende, para quem vende e, se possível, em qual contexto a empresa está – crescimento, pressão por meta, reorganização, etc.)</t>
  </si>
  <si>
    <t>Como é a estrutura comercial atual da empresa? (Quantidade de vendedores, tipo de time – interno/externo/híbrido –, principais canais de venda e se existe liderança comercial dedicada.)</t>
  </si>
  <si>
    <t>Por que o cliente nos procurou e o que ele espera melhorar ou alcançar com o apoio da VendaMais? (Ex.: bater meta, preparar a equipe, estruturar vendas, melhorar resultados, apoiar um momento específico como convenção, virada de ciclo, novo produto, etc.)</t>
  </si>
  <si>
    <t>Serviço oferecido</t>
  </si>
  <si>
    <t>Data Follow up 1</t>
  </si>
  <si>
    <t>Descrição do Follow up 1</t>
  </si>
  <si>
    <t>Data Follow up 2</t>
  </si>
  <si>
    <t>Descrição do Follow up 2</t>
  </si>
  <si>
    <t>Anexe a proposta enviada ao cliente:</t>
  </si>
  <si>
    <t>Data Follow up 3</t>
  </si>
  <si>
    <t>Descrição Follow up 3</t>
  </si>
  <si>
    <t>Data Follow up 4</t>
  </si>
  <si>
    <t>Descrição Follow up 4</t>
  </si>
  <si>
    <t>Data Follow up 5</t>
  </si>
  <si>
    <t>Descrição Follow up 5</t>
  </si>
  <si>
    <t>Data Negociação</t>
  </si>
  <si>
    <t>Descrição Negociação</t>
  </si>
  <si>
    <t>Processo de liderança (estrutura de líderes no comercial)</t>
  </si>
  <si>
    <t>Transcrição Qualificação (Ligação ou Vídeo)</t>
  </si>
  <si>
    <t>Nome do serviço oferecido na proposta</t>
  </si>
  <si>
    <t>Qual é o principal desafio comercial que ficou claro na conversa? (Ex.: baixa conversão, falta de padrão na abordagem, dificuldade em negociar, vendedores inseguros, perda de oportunidades, necessidade de organizar o processo, etc.)</t>
  </si>
  <si>
    <t>Existe algum prazo, evento ou pressão que torne essa decisão importante agora? (Ex.: convenção, conselho, fechamento de trimestre, orçamento, mudança de liderança, resultado ruim recente, lançamento, etc.)</t>
  </si>
  <si>
    <t>Quais resultados ou indicadores o cliente gostaria de melhorar? (Marque ou descreva os mais citados: conversão, faturamento, ticket médio, produtividade do time, engajamento, retenção, organização do funil, previsibilidade.)</t>
  </si>
  <si>
    <t>O que ficou combinado como próximo passo após essa conversa? (Ex.: enviar proposta, marcar nova reunião, envolver outro decisor, ajustar escopo, aguardar data/orçamento, etc.)</t>
  </si>
  <si>
    <t>Motivo de perda</t>
  </si>
  <si>
    <t>Motivo de perda (descrição)</t>
  </si>
  <si>
    <t>Contato: Primeiro Nome</t>
  </si>
  <si>
    <t>Contato: Sobrenome</t>
  </si>
  <si>
    <t>Contato: Cargo</t>
  </si>
  <si>
    <t>Empresa: Indústria</t>
  </si>
  <si>
    <t>Empresa: Cidade</t>
  </si>
  <si>
    <t>Empresa: Estado</t>
  </si>
  <si>
    <t>Preencher formulário de CRM "Formulário vendamais.com.br"</t>
  </si>
  <si>
    <t>Mayron Félix</t>
  </si>
  <si>
    <t>51 a 100</t>
  </si>
  <si>
    <t>Não</t>
  </si>
  <si>
    <t>Não é PCI</t>
  </si>
  <si>
    <t>10 a 20</t>
  </si>
  <si>
    <t>Diagnóstico</t>
  </si>
  <si>
    <t>1 a 9</t>
  </si>
  <si>
    <t>Consultoria</t>
  </si>
  <si>
    <t>Preencher formulário de CRM "LP Consultoria ads"</t>
  </si>
  <si>
    <t>Outros (detalhar)</t>
  </si>
  <si>
    <t>Rafael Bortoloso</t>
  </si>
  <si>
    <t>21 a 50</t>
  </si>
  <si>
    <t>Falta de retorno</t>
  </si>
  <si>
    <t>Fabiano Silva</t>
  </si>
  <si>
    <t>Caixa Vida e Previdência- Projeto</t>
  </si>
  <si>
    <t>CAIXA Vida e Previdência</t>
  </si>
  <si>
    <t>Mais de 100</t>
  </si>
  <si>
    <t>jhonatas.santos@caixavidaeprevidencia.com.br</t>
  </si>
  <si>
    <t>Eles são uma empresa parceira que atua no treinamento e desenvolvimento dos correspondentes Caixa. Foco total nos consultores</t>
  </si>
  <si>
    <t>Somente os correspondentes que atuam na caixa de lotéricas</t>
  </si>
  <si>
    <t>Precisam de um treinamento de multiplicação para a liderança aplicar consultores</t>
  </si>
  <si>
    <t>Programa de Treinamento ou Linha Power</t>
  </si>
  <si>
    <t>Jonathas entrou de férias nessa semana e volta após a semana que vem. Falou que assim que retornar vai me dar o retorno</t>
  </si>
  <si>
    <t>Jhonatas retornou de ferias e está analisando as propostas e os detalhes junto a Diretoria. Ficou de me dar o retorno no mês que vem</t>
  </si>
  <si>
    <t>https://cdn.bitrix24.com.br/b19630473/main/844/844221985590be2d34515779a23f9101/4dc6a9149632d7c38aab35822c5f1db8.pdf</t>
  </si>
  <si>
    <t>Programa de multiplicadores</t>
  </si>
  <si>
    <t>Equipe com pouca tecnica em vendas, correspondentes sem experiência e com pouca abordagem ativa</t>
  </si>
  <si>
    <t>Precisam começar o quanto antes.</t>
  </si>
  <si>
    <t>Maior conversão e abordagem de impacto</t>
  </si>
  <si>
    <t>Vão analisar a proposta e o Jonathas vai tentar aprovar até quinta. Ele vai entrar de férias.</t>
  </si>
  <si>
    <t>Fechou com concorrente</t>
  </si>
  <si>
    <t>Agradeceram a proposta e preferiram fechar com uma empresa que já tem experiência com atendentes Caixa. É uma consultoria que só faz isso dentro de bancos e agências.</t>
  </si>
  <si>
    <t>Jhonatas</t>
  </si>
  <si>
    <t>Mariano Santos</t>
  </si>
  <si>
    <t>-</t>
  </si>
  <si>
    <t>Analista de Treinamento</t>
  </si>
  <si>
    <t>Previdência Privada</t>
  </si>
  <si>
    <t>João Victor</t>
  </si>
  <si>
    <t>São Paulo</t>
  </si>
  <si>
    <t>SP</t>
  </si>
  <si>
    <t>Assistente Comercial</t>
  </si>
  <si>
    <t>Serviços</t>
  </si>
  <si>
    <t>Convenção de Vendas</t>
  </si>
  <si>
    <t>alberto.navarro@semparar.com.br</t>
  </si>
  <si>
    <t>Mudança de prioridades</t>
  </si>
  <si>
    <t>ALBERTO</t>
  </si>
  <si>
    <t>NAVARRO</t>
  </si>
  <si>
    <t>Coordenador de atendimento</t>
  </si>
  <si>
    <t>Fechou outra proposta conosco</t>
  </si>
  <si>
    <t>Cooperativa de Crédito</t>
  </si>
  <si>
    <t>MT</t>
  </si>
  <si>
    <t>.</t>
  </si>
  <si>
    <t>Game</t>
  </si>
  <si>
    <t>Proposta adiada</t>
  </si>
  <si>
    <t>Gerente Comercial</t>
  </si>
  <si>
    <t>Rio de Janeiro</t>
  </si>
  <si>
    <t>Diretor Comercial</t>
  </si>
  <si>
    <t>Eryclys Freire</t>
  </si>
  <si>
    <t>Diretor</t>
  </si>
  <si>
    <t>FIEMT- Palestra Karen 200 lideres</t>
  </si>
  <si>
    <t>Fiemt - Federação das Indústrias no Estado de Mato Grosso</t>
  </si>
  <si>
    <t>petterson.camargo@sfiemt.ind.br</t>
  </si>
  <si>
    <t>Palestra</t>
  </si>
  <si>
    <t>Sistema FIEMT atua como uma instituição voltada ao desenvolvimento industrial, com foco em capacitação, suporte e fortalecimento da indústria local. O público principal são líderes internos da própria organização. A empresa está em um momento de consolidação da cultura organizacional, após três anos de um trabalho estruturado nessa frente, indicando um contexto de evolução e amadurecimento institucional, com foco em conectar cultura a resultados concretos.</t>
  </si>
  <si>
    <t>Não há informações explícitas sobre a estrutura comercial (número de vendedores, canais ou liderança). Por se tratar de uma instituição, o foco não parece estar em uma estrutura comercial tradicional, mas sim em iniciativas internas de desenvolvimento de liderança e cultura. Campo sem informações diretas.</t>
  </si>
  <si>
    <t>O cliente busca uma palestra de impacto para seu evento estratégico, com o objetivo de reforçar e consolidar a cultura organizacional, alinhando-a diretamente à geração de resultados. Espera fortalecer a mentalidade dos líderes, aumentar o engajamento e potencializar a execução da estratégia organizacional através da liderança.</t>
  </si>
  <si>
    <t>Palestra / Workshop</t>
  </si>
  <si>
    <t>Petterson falou que vai ter a resposta até a sexta. Vai entrar em conato comigo</t>
  </si>
  <si>
    <t>Ainda em análise. Mandei uma mensagem para Petterson falando sobre a data e necessidade de fechamento para manter a mesma. Ele falou que vai tentar me dar um retorno até hoje.</t>
  </si>
  <si>
    <t>https://cdn.bitrix24.com.br/b19630473/main/028/0288a1918fc9564c7de21a36dd127732/53044c5a5704335eb1f75372babcce37.pdf</t>
  </si>
  <si>
    <t>O principal desafio identificado é a necessidade de fortalecer a conexão entre cultura organizacional e geração de resultados. Isso sugere dificuldades em traduzir iniciativas culturais em performance prática, engajamento e impacto mensurável nos resultados da organização.</t>
  </si>
  <si>
    <t>im. Existe um prazo claro: o evento Summit Liderança acontecerá no dia 03/07/2026. Isso gera uma pressão de tempo para definição da proposta, contratação e alinhamento logístico e de conteúdo.</t>
  </si>
  <si>
    <t>Engajamento da liderança Conexão entre cultura e resultados Performance organizacional Consistência na execução da estratégia Fortalecimento da cultura interna</t>
  </si>
  <si>
    <t>Envio de proposta contemplando: Conteúdo da palestra alinhado ao tema “Cultura que gera resultados” Logística completa (deslocamento, hospedagem, alimentação e transfer) Custos adicionais de equipe de apoio, se aplicável</t>
  </si>
  <si>
    <t>Petterson retornou falando que aprovaram outras propostas por conta do alinhamento com a demanda. Agradeceram e falaram que vão ficar com a Karen no radar.</t>
  </si>
  <si>
    <t>Petterson</t>
  </si>
  <si>
    <t>Camargo</t>
  </si>
  <si>
    <t>Analista de DHO</t>
  </si>
  <si>
    <t>Associações</t>
  </si>
  <si>
    <t>SICREDI OURO VERDE MT</t>
  </si>
  <si>
    <t>suelen_purquerio@sicredi.com.br</t>
  </si>
  <si>
    <t>A cooperativa atua no modelo tradicional de agência, com foco em produtos financeiros para cooperados. O momento é de busca por maior organização comercial e evolução na forma de atuação, saindo de um modelo mais operacional e orientado a volume para algo mais estruturado e qualitativo.</t>
  </si>
  <si>
    <t>A operação é dividida entre Gestores de Agência (GA) e Gerentes de Negócios (GN). O GA tem atuação mais voltada para gestão e cobrança de resultados, enquanto o GN atua diretamente na frente comercial. Hoje há pouca padronização na atuação entre as equipes.</t>
  </si>
  <si>
    <t>Busca melhorar a qualidade das entregas comerciais, equilibrando volume com consistência, além de estruturar melhor a gestão entre GA e GN. Espera mais alinhamento, organização e evolução na atuação comercial das equipes.</t>
  </si>
  <si>
    <t>Treinamento Spot</t>
  </si>
  <si>
    <t>Sem retorno no e-mail</t>
  </si>
  <si>
    <t>https://cdn.bitrix24.com.br/b19630473/main/0ae/0ae6d5d099a28a46d4ce7608ea515ca5/e7531863ac21218884aa79316f301d1d.pdf</t>
  </si>
  <si>
    <t>Há um desalinhamento entre o Gestor de Agência (GA) e o Gerente de Negócios (GN), com o GA focando excessivamente em volume e pouco em qualidade. Existe a necessidade de mudança de mentalidade para uma atuação mais equilibrada, priorizando consistência e qualidade nas operações. Também foi identificada falta de disciplina na gestão do GN como um todo e necessidade de maior organização e padronização entre as equipes, garantindo que todos atuem de forma alinhada. A demanda é por um treinamento para cerca de 45 pessoas, dividido em duas turmas, com duração de 1 dia, sendo que o cliente ainda irá validar o calendário internamente.</t>
  </si>
  <si>
    <t>Treinamento de Assessores</t>
  </si>
  <si>
    <t>Foco excessivo em volume sem olhar para qualidade, falta de alinhamento entre GA e GN e ausência de padronização na atuação comercial das equipes.</t>
  </si>
  <si>
    <t>Sem prazo crítico imediato, mas existe uma necessidade clara de evolução e organização da operação comercial no curto prazo.</t>
  </si>
  <si>
    <t>Qualidade das operações, consistência dos resultados, organização da rotina comercial e alinhamento entre equipes, impactando diretamente a produtividade e performance.</t>
  </si>
  <si>
    <t>Envio da proposta para análise e validação interna, com definição de datas para realização do treinamento em duas turmas.</t>
  </si>
  <si>
    <t>Com o playbook e ações que estamos fazendo com a Central deles, pediram para adiar a proposta pois está muito conectado com o o projeto.</t>
  </si>
  <si>
    <t>Suelen</t>
  </si>
  <si>
    <t>Purquerio</t>
  </si>
  <si>
    <t>Lucas do Rio Verde</t>
  </si>
  <si>
    <t>Workshop 2h Personalizado 400 líderes</t>
  </si>
  <si>
    <t>Cooperativa Central de Crédito - AILOS</t>
  </si>
  <si>
    <t>gabriela.lavrati@ailos.coop.br</t>
  </si>
  <si>
    <t>Trata-se de um sistema cooperativo (Ailos) composto por 14 cooperativas, com atuação no mercado financeiro (crédito, produtos e serviços financeiros) para pessoas físicas e jurídicas. O momento atual é de evolução estratégica, com maior foco no pilar comercial e crescimento sustentável. Estão passando por uma revisão estratégica com visão até 2030, buscando fortalecer a geração de negócios dentro das cooperativas.</t>
  </si>
  <si>
    <t>A estrutura é descentralizada entre as 14 cooperativas, com liderança distribuída entre diretorias, gerências e coordenações. O público envolvido na iniciativa inclui cerca de 460 líderes, que influenciam diretamente a operação comercial nas agências. Existe forte atuação de liderança, mas ainda com necessidade de maior padronização na gestão da performance comercial.</t>
  </si>
  <si>
    <t>O cliente busca apoio para estruturar um workshop dentro da sua primeira convenção de vendas sistêmica, com foco em liderança de alta performance. Espera gerar uma virada de chave prática nos líderes, trazendo clareza sobre o papel comercial, maior responsabilidade na gestão de resultados e direcionamento para ações concretas que impulsionem negócios sustentáveis.</t>
  </si>
  <si>
    <t>https://cdn.bitrix24.com.br/b19630473/main/3d9/3d9c0e571a1cf1ec97038189457d0c79/3269b304ef9d8383958ed2d7c90c16a1.pdf</t>
  </si>
  <si>
    <t>Workshop personalizado parra liderança</t>
  </si>
  <si>
    <t>O principal desafio é a falta de clareza e padronização sobre o que é alta performance dentro do sistema. Há necessidade de estruturar melhor a atuação das lideranças comerciais, especialmente na condução de rituais, acompanhamento de resultados e desenvolvimento dos times, garantindo consistência (constância) na gestão.</t>
  </si>
  <si>
    <t>Sim. Existe uma forte pressão relacionada à realização da primeira convenção de vendas sistêmica, que será um marco para o sistema. O evento reunirá 460 líderes e terá como objetivo impulsionar o comercial, sendo um momento estratégico para alinhamento e mobilização das lideranças.</t>
  </si>
  <si>
    <t>Performance comercial (geração de negócios) Consistência no acompanhamento de resultados Produtividade das lideranças Clareza na gestão (rituais e rotinas) Engajamento e responsabilidade dos líderes Execução prática (transformar estratégia em ação)</t>
  </si>
  <si>
    <t>Desenvolvimento e envio da proposta detalhada do workshop e formato de entrega Agendamento de reunião de apresentação e alinhamento da proposta (segunda-feira às 10:30) Estruturação do conteúdo com personalização e definição do formato de sustentação pós-evento (plano de ação + live em 30 dias)</t>
  </si>
  <si>
    <t>Fecharam com outra consultoria que tinha mais fit com a demanda apresentada. Gostaram muito mas acharam que não conecta, e que também não é nosso core a parte de treinamento vivencial. Pediram nosso portfólio e gostaram muito do projeto que estamos fazendo na Central do Sicredi e Vendópolis. Portfólio enviado e vou acompanhar de perto o relacionamento.</t>
  </si>
  <si>
    <t>Gabriela</t>
  </si>
  <si>
    <t>Lavrati</t>
  </si>
  <si>
    <t>Blumenau</t>
  </si>
  <si>
    <t>SC</t>
  </si>
  <si>
    <t>Outro</t>
  </si>
  <si>
    <t>Gerente de marketing</t>
  </si>
  <si>
    <t>Indústria Alimentícia</t>
  </si>
  <si>
    <t>MG</t>
  </si>
  <si>
    <t>Preencher formulário de CRM "LP treinamento Comercial ads"</t>
  </si>
  <si>
    <t>Gerente de RH/DHO</t>
  </si>
  <si>
    <t>CEO/Fundador/Sócio/Presidente</t>
  </si>
  <si>
    <t>Imobiliária</t>
  </si>
  <si>
    <t>Osasco</t>
  </si>
  <si>
    <t>Convenção Ifood Brasil</t>
  </si>
  <si>
    <t>iFood</t>
  </si>
  <si>
    <t>henrique.rafael@ifood.com.br</t>
  </si>
  <si>
    <t>O iFood possui uma operação comercial robusta, dividida entre Farmers (gestão e expansão de carteira) e Hunters (aquisição de novos parceiros). Atua com múltiplas verticais e um ecossistema completo de soluções. O contexto é de alta exigência por performance, com forte uso de dados, tecnologia e IA, buscando evoluir a execução comercial para aumentar conversão, cross-sell e crescimento de receita.</t>
  </si>
  <si>
    <t>Estrutura com aproximadamente 1.000 profissionais comerciais, sendo cerca de 800 Farmers e 200 Hunters. Time híbrido, com atuação estratégica em campo e gestão de contas. Possui liderança estruturada e segmentação clara por função e vertical.</t>
  </si>
  <si>
    <t>Busca elevar o nível de execução comercial, principalmente na transformação de dados em ação, melhoria na comunicação comercial, aumento de conversão e maior inteligência na atuação em território. Espera uma abordagem prática, aplicável e que gere impacto direto no resultado.</t>
  </si>
  <si>
    <t>Ainda em análise</t>
  </si>
  <si>
    <t>Sem retorno em todos os canais</t>
  </si>
  <si>
    <t>https://cdn.bitrix24.com.br/b19630473/main/bfb/bfb83ee611ec8123e46e327afb919b0c/110880901a290fe6cd5a7e0c1698e242.pdf</t>
  </si>
  <si>
    <t>Palestra Karen e Caetano</t>
  </si>
  <si>
    <t>Dificuldade em transformar dados e inteligência em conversas que geram decisão. Necessidade de melhorar execução em campo, priorização, comunicação de valor e atuação estratégica frente à concorrência, além de evoluir o time para um perfil mais consultivo e versátil.</t>
  </si>
  <si>
    <t>Sim. Convenção anual de vendas marcada para maio, com impacto direto na preparação do time para o ciclo comercial do ano.</t>
  </si>
  <si>
    <t>Aumento de conversão, crescimento de cross-sell, expansão de receita por cliente, maior eficiência na utilização do tempo em campo, melhoria na qualidade das interações comerciais e maior assertividade na tomada de decisão dos parceiros.</t>
  </si>
  <si>
    <t>Envio da proposta detalhada de forma assíncrona para avaliação. Possível avanço para alinhamento síncrono com fornecedores pré-selecionados.</t>
  </si>
  <si>
    <t>Não retornaram em nenhuma abordagem. Por conta do evento ser no início desse mês, deduzi que já escolheram o fornecedor.</t>
  </si>
  <si>
    <t>Rafael</t>
  </si>
  <si>
    <t>Ribeiro</t>
  </si>
  <si>
    <t>Tecnologia</t>
  </si>
  <si>
    <t>CASTROLANDA</t>
  </si>
  <si>
    <t>CASTROLANDA – COOPERATIVA AGROINDUSTRIAL LTDA</t>
  </si>
  <si>
    <t>leonardoml@castrolanda.coop.br</t>
  </si>
  <si>
    <t>A Castrolanda é uma cooperativa de leite com várias cooperados ao longo do Paraná</t>
  </si>
  <si>
    <t>Possuem mais de 20 vendedores e 2 líderes diretos</t>
  </si>
  <si>
    <t>Precisma de um alinhamento da equipe pelo cenário negativo das metas e objetivos no ano passado</t>
  </si>
  <si>
    <t>Em análise da Diretoria</t>
  </si>
  <si>
    <t>Leo está tentando aprovar o budget para equipe</t>
  </si>
  <si>
    <t>https://cdn.bitrix24.com.br/b19630473/main/a5a/a5af424fbed1f3b98c85c4c03afaf015/1d1c94af18be64d6827b87ea02c724f0.pdf</t>
  </si>
  <si>
    <t>Leo está analisando sobre budget</t>
  </si>
  <si>
    <t>Power Agro</t>
  </si>
  <si>
    <t>Falta de organização e processo comercial</t>
  </si>
  <si>
    <t>Vão analisar e ver o que conseguem com o Budget</t>
  </si>
  <si>
    <t>Taxa de conversão, visita efetiva, controle de objeção</t>
  </si>
  <si>
    <t>Vão passar para o time comercial e dar o retorno positivo ou negativo</t>
  </si>
  <si>
    <t>Com as ações realizadas pela Central, eles decidiram adiar o programa comos Assessores.</t>
  </si>
  <si>
    <t>Leonardo</t>
  </si>
  <si>
    <t>Lopes</t>
  </si>
  <si>
    <t>Cooperativa Agrícola</t>
  </si>
  <si>
    <t>Castro</t>
  </si>
  <si>
    <t>PR</t>
  </si>
  <si>
    <t>Power Coop. Gestão Comercial</t>
  </si>
  <si>
    <t>SICOOB CENTRAL CECRESP</t>
  </si>
  <si>
    <t>danilo.gomes@sicoob.com.br</t>
  </si>
  <si>
    <t>A central conta com mais de 20 agências no Estado de SP</t>
  </si>
  <si>
    <t>Mais de 300 colabodores na área de negócios</t>
  </si>
  <si>
    <t>Melhorar a postura e técnica de liderança</t>
  </si>
  <si>
    <t>Em análise pelo time de assessores.</t>
  </si>
  <si>
    <t>https://cdn.bitrix24.com.br/b19630473/main/75b/75bf9a09fcba2592a7b4ae10b019eeb0/52592abf42a3c15779117c1b50e63133.pdf</t>
  </si>
  <si>
    <t>Power coop Gestão Comercial</t>
  </si>
  <si>
    <t>Gerente de Agencia mais engajado e influente</t>
  </si>
  <si>
    <t>Vão precisar do treinamento em Maio</t>
  </si>
  <si>
    <t>Melhorar a eficiencia da liderança</t>
  </si>
  <si>
    <t>Vai analisar junto a diretoria e dar o retorno até semana que vem</t>
  </si>
  <si>
    <t>Acharam o programa da concorrencia (não quis falar qual) com um valor mais adequado a formação. Falaram que o conteúdo era bem parecido.</t>
  </si>
  <si>
    <t>Danilo</t>
  </si>
  <si>
    <t>Gomes</t>
  </si>
  <si>
    <t>Coordenador de RH</t>
  </si>
  <si>
    <t>Ouro Fino</t>
  </si>
  <si>
    <t>Águas Ouro Fino</t>
  </si>
  <si>
    <t>joao.fracaro@aguasourofino.com.br</t>
  </si>
  <si>
    <t>A Ouro Fino é uma indústria de água mineral que anteriormente era uma empresa familiar e atualmente faz parte do Grupo Condor. A empresa atua principalmente na produção e distribuição de água mineral para o varejo e distribuidores da região Sul do Brasil, com atuação nos estados do Paraná, Santa Catarina e Rio Grande do Sul. A maior concentração de vendas está no Paraná, porém existe grande potencial de expansão comercial nesses estados. O negócio possui forte sazonalidade, com vendas muito fortes no verão e queda relevante no inverno. A empresa já possui algumas estruturas de gestão comercial estabelecidas, como indicadores de desempenho bem definidos, análise de carteira por modelo RFM e um aplicativo próprio de vendas que atualmente gera cerca de R$70 mil mensais em pedidos. Apesar disso, a diretoria percebe que existe dificuldade na execução comercial e na geração consistente de resultados.</t>
  </si>
  <si>
    <t>A estrutura comercial é composta por um diretor que também atua diretamente na área comercial, um gerente nacional de vendas, um gerente de grandes contas, um supervisor de inside sales e um supervisor de vendas externas. A equipe comercial conta com quatro vendedores internos, oito vendedores externos e quatro representantes comerciais, sendo que estes últimos possuem baixa representatividade no faturamento. Atualmente, uma parte relevante das vendas está concentrada no time de inside sales, com vendedores internos que chegam a gerar faturamentos próximos a R$400 mil por mês. Já o time de vendas externas apresenta produtividade mais baixa, com resultados que variam entre aproximadamente R$80 mil e R$200 mil mensais por vendedor.</t>
  </si>
  <si>
    <t>empresa busca o apoio da VendaMais para realizar uma análise mais profunda da operação comercial e identificar oportunidades de melhoria na estrutura, na gestão e na execução das vendas. A expectativa da diretoria é fortalecer a cultura comercial, desenvolver lideranças mais orientadas a resultado e criar uma força de vendas mais ativa na geração de novos negócios. Também existe interesse em revisar a atuação do time externo, aumentar a produtividade da equipe comercial e estruturar melhor os canais de venda para gerar crescimento consistente.</t>
  </si>
  <si>
    <t>João não atende o telefone e nem responde as mensagens. Tentando novas estratégias</t>
  </si>
  <si>
    <t>João falou que está em análise do conselho. Ficou de me retornar essa semana ainda.</t>
  </si>
  <si>
    <t>https://cdn.bitrix24.com.br/b19630473/main/b1e/b1e865be7d165d10663b1fc711db468c/23f73a775963b10be0b41c7e54960d10.pdf</t>
  </si>
  <si>
    <t>Foi um pouco mais agressivo no follow. Mandei e-mail e mensagem - Bom dia João, tudo bem? Vou ser direto. Já se passou mais de um mês desde a proposta, e o cenário que discutimos lá atrás continua exatamente o mesmo: – Time externo produzindo abaixo do potencial – Dependência excessiva do time interno – Dúvidas sobre a liderança comercial – Mercado aberto sem ser capturado Nada disso se resolve sozinho. E aqui entra o ponto principal: Vocês já têm clareza do problema. Já têm uma proposta estruturada para resolver. O que falta agora é decisão. Porque hoje existem só três caminhos possíveis: Avançar agora e começar a corrigir execução ainda neste mês Adiar e continuar perdendo faturamento mês após mês Não fazer e assumir que esse é o nível de performance que a operação vai sustentar O que não dá é ficar no meio. Vou ser transparente com você: Nós estamos organizando a agenda dos próximos ciclos de projetos e esse espaço não fica aberto por muito tempo. Se não avançarmos agora, muito provavelmente esse início vai sair da janela ideal para vocês. Então vamos simplificar:</t>
  </si>
  <si>
    <t>João e Guilherme ainda não conversaram com o Brayan. Me coloquei a disposição para ir novamente presencialmente para discutir as possbilidades.</t>
  </si>
  <si>
    <t>última tentativa de follow com eles. Mandei mensagem para o Guilherme e para o João, mas tudo indica que o problema é budget e não aceitação do conselho. Aguardando detalhes</t>
  </si>
  <si>
    <t>Contexto da Empresa A Ouro Fino era originalmente uma empresa familiar e foi posteriormente adquirida pelo Grupo Condor. Atualmente a empresa passa por um momento de reorganização comercial, buscando maior eficiência na gestão de vendas e aumento de performance da equipe. A diretoria demonstra forte senso de urgência por resultados, porém reconhece a necessidade de mudanças estruturais e, principalmente, de mentalidade comercial. Estrutura Comercial Atual Direção 1 Diretor de Fábrica (também atua diretamente na área comercial) Gestão 1 Gerente Nacional de Vendas 1 Gerente de Grandes Contas 1 Supervisor de Inside Sales 1 Supervisor de Vendas Externas Equipe Comercial 4 vendedores internos 8 vendedores externos 4 representantes comerciais (com baixo faturamento atualmente) Área de Atuação A operação comercial está concentrada na região Sul do Brasil: Paraná Santa Catarina Rio Grande do Sul Existe maior concentração de vendas no Paraná, porém ainda há grande potencial de expansão e abertura de mercado na região. Estrutura e Ferramentas Comerciais A empresa possui algumas bases estruturadas no processo comercial: Indicadores e gestão KPIs comerciais bem definidos Modelo RFM (Recência, Frequência e Monetização) aplicado e atualizado Identificação de clientes campeões e análise de valor de carteira Estratégia Direcionamento estratégico já definido Aplicativo próprio de vendas funcionando e gerando aproximadamente R$ 70 mil/mês Desafios Comerciais Identificados 1️⃣ Estrutura de Liderança Comercial Existe uma dúvida estratégica sobre a necessidade e efetividade do cargo de Gerente Nacional. O gerente atual ingressou em outubro Veio do mercado de bebidas (ex-Ambev) Até o momento não apresentou impacto claro nos resultados 2️⃣ Performance da Equipe Comercial Apesar da estrutura e indicadores definidos, existe percepção de: Baixa reação da equipe às campanhas e direcionamentos Falta de senso de urgência comercial Dificuldade de execução das estratégias no campo Segundo o diretor, mesmo quando ações são implementadas: campanhas mudanças comerciais direcionamentos estratégicos não há resposta proporcional da força de vendas. 3️⃣ Cultura de Justificativas O diretor relata que frequentemente surgem justificativas para baixa performance, como: clima (frio) problemas logísticos concorrência mercado Isso gera a percepção de baixa responsabilidade comercial sobre os resultados. 4️⃣ Dependência Direta do Diretor O diretor Brian relata que muitas decisões acabam dependendo diretamente dele, pois não percebe mudanças concretas quando delega aos gerentes e supervisores. Isso gera: sobrecarga na diretoria lentidão nas mudanças dificuldade de execução da estratégia 5️⃣ Sazonalidade do Negócio O negócio apresenta forte sazonalidade: Verão: vendas muito fortes Inverno: vendas muito fracas Existe necessidade de estratégias comerciais para compensar essa variação de demanda. Expectativa da Empresa A empresa busca uma consultoria estratégica e prática, com foco em: Revisão do cenário comercial atual Avaliação da estrutura de liderança Fortalecimento da cultura de vendas Desenvolvimento de uma força comercial mais ativa e orientada a resultado Estruturação clara de canais e execução comercial Existe alto senso de urgência na implementação dessas melhorias. ✅ Se quiser, também posso te entregar mais 3 coisas que vão te ajudar muito nessa venda: 1️⃣ Diagnóstico oculto (o problema real dessa empresa) 2️⃣ Como estruturar uma proposta de consultoria de alto valor para eles 3️⃣ Um roteiro de abordagem para fechar esse projeto (isso aqui pode virar um projeto de 80k–200k facilmente). lança Perfeito. Vou aprofundar o diagnóstico estratégico e mostrar como você pode transformar isso em um projeto forte de consultoria. 1️⃣ Diagnóstico Oculto (o problema real da empresa) Pelo que você trouxe, o problema da Ouro Fino não é comercial. É liderança e execução. Eles já têm: ✔ KPI definidos ✔ RFM estruturado ✔ Estratégia definida ✔ Aplicativo rodando ✔ Estrutura de vendas montada Ou seja: Eles não estão faltando método. O que está faltando é: Cultura de execução comercial Existe um sintoma clássico: estratégia existe campanha existe meta existe resultado não aparece Isso normalmente significa: gestores que não sabem liderar vendas. 2️⃣ O verdadeiro gargalo da empresa O problema parece estar em 3 camadas de gestão. 1️⃣ Gerente nacional Entrou recentemente, vindo da Ambev, que é uma escola forte de execução. Mas existem dois riscos comuns quando alguém vem desse tipo de empresa: dificuldade de adaptação fora de uma grande corporação dificuldade de liderar equipes que não têm cultura forte de cobrança Possível cenário: Ele ainda não conseguiu impor ritmo de execução. 2️⃣ Supervisores Aqui pode estar o maior problema. Se o diretor precisa: criar campanha acompanhar resultado cobrar execução significa que os supervisores não estão gerenciando vendas. Provavelmente eles: acompanham pedidos resolvem problema de cliente fazem burocracia Mas não fazem gestão de performance. 3️⃣ Vendedores O diretor disse algo muito importante: "os vendedores nem se levantam" Isso normalmente significa: vendedores acomodados cultura de venda fraca pouca cobrança pouca consequência 3️⃣ Outro problema estrutural Existe uma camada de liderança grande para o tamanho da equipe. Hoje eles têm: 1 diretor 1 gerente nacional 1 gerente key account 2 supervisores Para apenas: 12 vendedores 4 representantes Isso pode gerar: lentidão nas decisões excesso de hierarquia pouca responsabilidade clara 4️⃣ O problema da sazonalidade Outro ponto estratégico: Verão forte Inverno fraco Isso pode significar duas coisas: 1️⃣ produto muito dependente de estação 2️⃣ falta de estratégia de portfólio para inverno Uma consultoria boa poderia: revisar portfólio criar campanhas de inverno desenvolver novos canais 5️⃣ O que eles realmente estão comprando Eles dizem que querem: "rever cenário da empresa" Mas na prática eles querem: resultado rápido. O diretor quer: ✔ vendedores mais agressivos ✔ gestores mais ativos ✔ execução das campanhas ✔ menos desculpas 6️⃣ Como você pode estruturar uma consultoria forte Eu faria um projeto em 3 fases. Fase 1 – Diagnóstico Comercial Profundo Duração: 30 dias Mapear: carteira de clientes canais performance de vendedores atuação dos supervisores rotina comercial Ferramentas: shadow de vendas entrevistas análise de CRM análise de território Entrega: Raio X Comercial da Ouro Fino Fase 2 – Reestruturação da Máquina de Vendas Duração: 60 dias Trabalhar: ✔ papel de cada gestor ✔ rotina de vendas ✔ gestão de território ✔ metas por canal ✔ cadência comercial Aqui você muda: modelo de gestão ritmo de vendas Fase 3 – Aceleração Comercial Duração: 90 dias Entram: treinamentos de vendas gestão de performance acompanhamento semanal campanhas bem estruturadas Objetivo: criar cultura de execução. 7️⃣ Valor desse tipo de projeto Projetos assim normalmente ficam entre: R$ 80.000 até R$ 250.000 Dependendo de: duração presença acompanhamento 8️⃣ A frase que você pode usar com o diretor Quando falar com ele, use algo assim: "Brian, pelo que você me trouxe, a Ouro Fino não precisa de mais estratégia. Ela precisa de execução comercial. E execução vem de gestão de vendas forte." Isso gera muita autoridade.</t>
  </si>
  <si>
    <t>Aceleração comercial</t>
  </si>
  <si>
    <t>O principal desafio percebido pela diretoria está relacionado à baixa produtividade e execução da equipe de vendas externas. Apesar de existirem campanhas comerciais, direcionamentos estratégicos e indicadores de gestão bem definidos, a empresa não percebe reação consistente da equipe comercial, principalmente do time de campo. Segundo o diretor Brian, muitas vezes surgem justificativas relacionadas ao clima, concorrência ou questões operacionais, mas as ações comerciais implementadas não geram impacto direto nas vendas. Existe também a percepção de baixa proatividade na abertura de novos clientes e expansão de mercado, especialmente considerando que a empresa ainda possui territórios com grande potencial de crescimento.</t>
  </si>
  <si>
    <t>Existe um senso de urgência por parte da diretoria em promover mudanças que tragam resultados mais consistentes. O diretor Brian demonstrou preocupação com o atual ritmo de crescimento e com a falta de impacto das iniciativas comerciais implementadas até agora, indicando que a empresa busca uma consultoria que consiga atuar de forma prática e efetiva na revisão do cenário comercial e na melhoria da performance da equipe.</t>
  </si>
  <si>
    <t>A empresa deseja melhorar principalmente o faturamento e a produtividade da equipe comercial, especialmente do time de vendas externas. Existe também interesse em aumentar a abertura de novos clientes, melhorar a execução das campanhas comerciais, fortalecer a expansão de mercado e desenvolver uma cultura de vendas mais orientada a resultado dentro da organização.</t>
  </si>
  <si>
    <t>Ficou alinhado o envio de uma proposta de consultoria que possa apoiar a empresa na análise do cenário comercial atual e na construção de um plano de desenvolvimento da força de vendas, com foco em melhorar a produtividade, fortalecer a gestão comercial e gerar crescimento mais consistente nas vendas.</t>
  </si>
  <si>
    <t>Tentamos de tudo nesse cliente. Fui duas vezes presencial, fizemos reunião com o Leandro, oferecemos desconto, vantagens de forma de pagamento, diagn[ostico de graça com o Leandro. Ao meu ver o conselho não aprovou o investimento e perdemos força após apresentação interna para o conselho. Mantemos a parceria, vou continuar tentando falar com eles, mas no momento não compensa deixar no funil.</t>
  </si>
  <si>
    <t>João</t>
  </si>
  <si>
    <t>Henrique</t>
  </si>
  <si>
    <t>Financeiro</t>
  </si>
  <si>
    <t>Distribuidora</t>
  </si>
  <si>
    <t>Campo Largo</t>
  </si>
  <si>
    <t>Grupo Medal</t>
  </si>
  <si>
    <t>tiago@medal.com.br</t>
  </si>
  <si>
    <t>O Grupo modal é uma referência em peças hidraulicas para industria em geral.</t>
  </si>
  <si>
    <t>10 vendedores internos</t>
  </si>
  <si>
    <t>Alexandre que está atuando na consultoria, levantou a mão com a necessidade. Precisam ser mais técnicos. Principalmente em vendas consultivas</t>
  </si>
  <si>
    <t>Pedi ao Alexandre para ver como Thiago sobre o treinamento. Aguardando o retorno</t>
  </si>
  <si>
    <t>Tiago ainda não me respondeu nem atendeu, mas o Alexandre consultor, falou que tem bastante chances de fechar o negócio</t>
  </si>
  <si>
    <t>https://cdn.bitrix24.com.br/b19630473/main/9c3/9c34f5fe574e52302de4179e8dede1da/dc4545cd6eded179b6a005b61c10ea33.pdf</t>
  </si>
  <si>
    <t>Vendas Consultivas de Alta performance</t>
  </si>
  <si>
    <t>Tornar a equipe mais técnica em vendas consultivas</t>
  </si>
  <si>
    <t>não</t>
  </si>
  <si>
    <t>Vendedores mais preparados, consultivos e por dentro das melhores tecnicas</t>
  </si>
  <si>
    <t>Vão analisar e dar o retorno para início em Abril</t>
  </si>
  <si>
    <t>Sem budget</t>
  </si>
  <si>
    <t>Por conta de nossa consultoria ativa, eles pensaram que o treinamento é de graça. Alexandre está fortalecendo de dentro pra fora, porém o Tiago me deu um retorno falando que todo seu investimento foi para consultoria, e hoje ele não tem possibilidade de pagar, nenhum valor</t>
  </si>
  <si>
    <t>Tiago</t>
  </si>
  <si>
    <t>Dalla Lana</t>
  </si>
  <si>
    <t>Fabricação de máquinas industriais</t>
  </si>
  <si>
    <t>Luzerna</t>
  </si>
  <si>
    <t>Programa de Assessores e Power cooperativismo</t>
  </si>
  <si>
    <t>SICREDI INTEGRAÇÃO DOS ESTADOS RS/SC</t>
  </si>
  <si>
    <t>555433559200, +555496768621</t>
  </si>
  <si>
    <t>A cooperativa está passando por um processo de integração, com foco no desenvolvimento das equipes de assessoria. Existe a intenção de fortalecer a atuação dos assessores para aumentar a efetividade na entrega e na geração de resultados. O processo de desenvolvimento previsto envolve um programa de treinamento com duração aproximada de 6 a 8 meses, estruturado para apoiar a evolução do time.</t>
  </si>
  <si>
    <t>A estrutura conta com aproximadamente 20 assessores, que atuarão também como multiplicadores internos. O treinamento será dividido em 2 a 3 módulos, com foco em capacitar esse grupo para atuar de forma mais estratégica e colaborativa, formando um grupo misto de assessores capaz de gerar mais impacto nas operações.</t>
  </si>
  <si>
    <t>O objetivo é desenvolver a equipe de assessorias, tornando o grupo mais preparado para gerar resultados concretos, criar projetos estratégicos e aumentar a efetividade das ações comerciais. A ideia é fortalecer o modelo de atuação do time e melhorar a capacidade de execução.</t>
  </si>
  <si>
    <t>Em análise da Diretoria de Negócios. Estão vendo outras consultorias tambem</t>
  </si>
  <si>
    <t>Fran está analisando turmas de estagiários. Ficou de me dar retorno essa semana ainda</t>
  </si>
  <si>
    <t>https://cdn.bitrix24.com.br/b19630473/main/1d5/1d565e2a0a95fb3cf4a241fbb2ea60d9/1c832640dd1d7eaa8b62ec4feaa7e2c2.pdf</t>
  </si>
  <si>
    <t>Cliente está passando por um processo de integração e busca fortalecer a atuação do time de assessores para aumentar a efetividade na entrega de resultados. Atualmente contam com cerca de 20 assessores, que também devem atuar como multiplicadores internos. A proposta é desenvolver esse grupo por meio de um programa de treinamento estruturado, com duração estimada de 6 a 8 meses, dividido em 2 a 3 módulos. O objetivo é desenvolver a equipe de assessorias, criando um grupo mais estratégico, capaz de gerar projetos, aumentar a efetividade das entregas e melhorar o ritmo de execução do time, que hoje enfrenta dificuldades para ganhar tração. O principal desafio apontado é a inadimplência, que tem consumido grande parte da energia da equipe e desviando o foco de iniciativas mais estratégicas. Como referência de metodologia, mencionaram interesse em conceitos como FranklinCovey e 4DX (4 Disciplines of Execution), especialmente na definição de metas crucialmente importantes e metas de direcionamento. O foco do projeto é apoiar a equipe a ganhar clareza estratégica, disciplina na execução e maior produtividade comercial.</t>
  </si>
  <si>
    <t>Programa de assessores e Power cooperativismo</t>
  </si>
  <si>
    <t>O principal desafio está relacionado à inadimplência, que atualmente consome grande parte da energia da equipe e acaba desviando o foco de iniciativas estratégicas de crescimento e performance. Além disso, existe dificuldade do time em ganhar ritmo e efetividade na execução das atividades comerciais.</t>
  </si>
  <si>
    <t>Sim. O projeto está sendo pensado dentro de um programa estruturado de desenvolvimento com duração de 6 a 8 meses, o que indica a necessidade de iniciar o processo para que a evolução da equipe aconteça dentro desse ciclo planejado.</t>
  </si>
  <si>
    <t>Redução da inadimplência Maior efetividade na atuação dos assessores Melhor execução de projetos e iniciativas estratégicas Aumento da produtividade da equipe Maior alinhamento e ritmo operacional do time</t>
  </si>
  <si>
    <t>Estruturar um programa de desenvolvimento para os assessores, considerando um modelo em 2 a 3 módulos, com duração total aproximada de 6 a 8 meses, voltado para fortalecimento da atuação estratégica e melhoria da performance da equipe.</t>
  </si>
  <si>
    <t>Nesse momento viu mais conexão com outra consultoria com foco em liderança. Pediu para entrar em contato no segundo semestre.</t>
  </si>
  <si>
    <t>Cheila</t>
  </si>
  <si>
    <t>Cadore (Saiu da coop)</t>
  </si>
  <si>
    <t>Passo Fundo</t>
  </si>
  <si>
    <t>RS</t>
  </si>
  <si>
    <t>SICOOB CREDICAPITAL</t>
  </si>
  <si>
    <t>gepes@sicoobcredicapital.com.br</t>
  </si>
  <si>
    <t>45999224300, +554530992500</t>
  </si>
  <si>
    <t>É uma cooperativa com 19 agências situadas na grande cascavel.</t>
  </si>
  <si>
    <t>Na lateral de Agro que foi a que falei, estão com 28 colaboradores divididos em Agências, Hunter com foco em visitas e equipe digital</t>
  </si>
  <si>
    <t>Precisa de uma alinhamento. Vê uma grande diferença entre os GNs e sua maior preocupação são a falta de planejamento e ações com visitas presenciais.</t>
  </si>
  <si>
    <t>Matheus falou que ainda estão analisando a ementa. Estão com algumas dúvidas mas irá marcar mais um momento com a Diretoria, para maior explicação</t>
  </si>
  <si>
    <t>Ainda em análise. Mateus falou que diretoria gostou, mas estão tentando aprovar a verba pela própria coop</t>
  </si>
  <si>
    <t>https://cdn.bitrix24.com.br/b19630473/main/0ff/0ff902bb8b22b4abe26c0e882d44d1c2/8bc1db89883645d4af390ca9817b3ed8.pdf</t>
  </si>
  <si>
    <t>Matheus falou que ainda estão em análise, que o programa ´[e para o segundo semestre e que está com calma na sequencia. Combinei de fazer um follow daqui a 10 dias</t>
  </si>
  <si>
    <t>Power Cooperativismo</t>
  </si>
  <si>
    <t>Melhor estrutura na gestão de carteira e visitas</t>
  </si>
  <si>
    <t>Vão definir o treinamento até o dia 15 de Março</t>
  </si>
  <si>
    <t>Maior taxa de conversão com visitas presenciais.</t>
  </si>
  <si>
    <t>Enviei a proposta e vão definir até a semana que vem</t>
  </si>
  <si>
    <t>Matheus me retorno que gostaram muito da proposta mas não podem fazer no momento por falta de verba. Retornei pedindo informações de valores, mas eles falaram que perderam toda a verba para treinamento por conta de um a mudança estratégica da coop.</t>
  </si>
  <si>
    <t>Caroline</t>
  </si>
  <si>
    <t>Xavier da Silva Spanazzatto</t>
  </si>
  <si>
    <t>Cascavel</t>
  </si>
  <si>
    <t>Mudança de Mindset e Vendas Consultivas Brasil e LaTam</t>
  </si>
  <si>
    <t>Stefanini Brasil</t>
  </si>
  <si>
    <t>faaraujo@stefanini.com</t>
  </si>
  <si>
    <t>A Stefanini atua com serviços de tecnologia e consultoria, tradicionalmente com foco em alocação de profissionais (body shop) e projetos de TI. A empresa está em um movimento estratégico de transição para a venda de soluções baseadas em Inteligência Artificial, buscando aumentar o valor agregado das ofertas e evoluir o posicionamento comercial.</t>
  </si>
  <si>
    <t>A estrutura comercial conta com equipes de vendas e pré-vendas distribuídas no Brasil e na América Latina. No Brasil são aproximadamente 82 profissionais e cerca de 50 profissionais na LatAm (Argentina, Chile, Colômbia, México e Peru). O time possui materiais e suporte técnico sobre IA, porém ainda mantém forte atuação no modelo tradicional de venda de serviços.</t>
  </si>
  <si>
    <t>A Stefanini busca apoio para desenvolver a mentalidade comercial e capacitar o time a vender soluções de IA de forma mais consultiva. O objetivo é ajudar os vendedores a conduzir conversas de valor com clientes, superar a dependência do modelo tradicional de venda e aumentar a confiança no processo comercial.</t>
  </si>
  <si>
    <t>Fabiane falou que a proposta foi bem aderente internamente, e está indo para aprovação da diretoria e equipe.</t>
  </si>
  <si>
    <t>Fabiane atendeu a ligação e falou que gostaram muito da proposta, mas o time interno de liderança está analisando os detalhes.</t>
  </si>
  <si>
    <t>https://cdn.bitrix24.com.br/b19630473/disk/3c3/3c37a65bd37cc9f96caa5c54b8164a73/b27453b92f692a581fa574b1c65a4c66.pdf</t>
  </si>
  <si>
    <t>Vendas Consultivas</t>
  </si>
  <si>
    <t>O principal desafio é a insegurança do time comercial no processo de venda consultiva de soluções mais complexas. Quando enfrentam resistência do cliente, os vendedores tendem a voltar ao modelo tradicional de venda de serviços (body shop), o que limita a adoção da estratégia de venda de soluções de IA.</t>
  </si>
  <si>
    <t>Sim. A mudança faz parte da estratégia atual da empresa de posicionar soluções de IA no mercado. Existe necessidade de acelerar a adaptação da equipe comercial a esse novo modelo, incluindo um programa de capacitação para Brasil e América Latina.</t>
  </si>
  <si>
    <t>Maior segurança da equipe comercial no processo de vendas consultivas, aumento da conversão em oportunidades de soluções de IA, evolução do posicionamento comercial do time, maior geração de valor nas propostas e melhoria na abordagem estratégica com clientes.</t>
  </si>
  <si>
    <t>A VendaMais irá elaborar uma proposta de treinamento contemplando mudança de mindset e técnicas de venda consultiva. Também será realizada uma pesquisa diagnóstica com vendedores e líderes para personalizar o conteúdo. A apresentação da proposta foi agendada para quarta-feira às 09h30.</t>
  </si>
  <si>
    <t>Tiveram algumas mudanças internas e adiaram o treinamento para o segundo semestre. Fabiane não quis ajustar as datas por agora, e pediu para entrar em contato em setembro ou ela mesmo vai entrar em contato para ajustar os detalhes para o treinamento.</t>
  </si>
  <si>
    <t>FABIANE</t>
  </si>
  <si>
    <t>ARAUJO</t>
  </si>
  <si>
    <t>Especialista em treinamento</t>
  </si>
  <si>
    <t>Jaguariúna</t>
  </si>
  <si>
    <t>Bellacor Linhas e Fios</t>
  </si>
  <si>
    <t>andre@linhasbellacor.com.br</t>
  </si>
  <si>
    <t>A Bellacor é uma indústria localizada em Brusque (SC) que produz principalmente linhas para costura utilizadas por confecções, incluindo jeans, uniformes profissionais, moda íntima e vestuário em geral. Também possui uma tinturaria de fios, que atende tanto a própria produção quanto terceiros. O principal produto é linha de costura, que funciona como um insumo da indústria de confecção (representando cerca de 3% a 5% do custo da peça). Por isso, o produto tem alta recorrência de compra, com clientes comprando em média a cada dois meses ou até semanalmente, dependendo da proximidade geográfica. Reunião Bellacor _ VendaMais - … A empresa atende todo o Brasil, com maior concentração no Sul e Sudeste, e polos relevantes em Goiás, Bahia e Pernambuco. Os principais clientes são: Confecções (principal segmento) Fábricas de uniformes Fábricas de jeans Oficinas/faccionistas Distribuidores e revendas em algumas regiões O faturamento médio da empresa gira entre R$ 1,8 milhão e R$ 2 milhões por mês, com baixa sazonalidade.</t>
  </si>
  <si>
    <t>A estrutura comercial da Bellacor é composta por: Equipe interna 4 vendedores internos 1 suporte comercial 1 gestor comercial responsável pelos dois canais Equipe externa Aproximadamente 20 representantes comerciais Cada canal possui sua própria carteira de clientes. Hoje o faturamento está aproximadamente dividido em: 50% vendas internas 50% vendas via representantes Durante a pandemia o canal interno chegou a representar 80% das vendas, mas depois houve um reequilíbrio. Reunião Bellacor _ VendaMais - … Os representantes normalmente também vendem tecidos, etiquetas ou outros produtos para confecções, o que faz com que a Bellacor frequentemente seja segunda ou terceira prioridade na carteira deles.</t>
  </si>
  <si>
    <t>A Bellacor está em um momento de busca por profissionalização da área comercial. Apesar de ter apresentado crescimento recente, o crescimento histórico de 5% a 10% ao ano é considerado insuficiente para o potencial da empresa. Segundo o André: A empresa tem capacidade produtiva para crescer cerca de 40% sem novos investimentos significativos O crescimento está limitado principalmente pela estrutura comercial e gestão da carteira Eles esperam melhorar principalmente: Estruturação do processo comercial Gestão da carteira de clientes Performance do canal de representantes Aumento da recorrência e retenção de clientes Exploração do mix de produtos Crescimento mais acelerado do faturamento</t>
  </si>
  <si>
    <t>Muito boa tarde André! Como você está? Espero que bem! Teve a oportunidade de analisar a proposta de diagnóstico comercial que eu te mandei?</t>
  </si>
  <si>
    <t>Bom dia André! Tudo bem? Quando puder falar, me avisa por favor. Abraços!</t>
  </si>
  <si>
    <t>https://cdn.bitrix24.com.br/b19630473/main/e53/e538089d22eaa159c78fa473f23de8c2/08cb8dc59fd20133abf52b9ad3165570.pdf</t>
  </si>
  <si>
    <t>Olá André! Como estão as coisas por aí? Espero que bem! Passei aqui porque organizei um Raio-X Comercial rápido que tenho usado com algumas empresas. Ele leva menos de 10 minutos e dá uma visão bem clara de como está a operação hoje — principalmente em previsibilidade, gestão de carteira e execução do time. Achei que poderia te ajudar a olhar isso com mais clareza também. Segue o link:</t>
  </si>
  <si>
    <t>último follow up - mais duro e tentando gerar uma ação. Ofereci o Diagnóstico Executivo</t>
  </si>
  <si>
    <t>Diagnóstico Comercial</t>
  </si>
  <si>
    <t>Os principais desafios comerciais identificados foram: 1. Falta de processo comercial estruturado Ausência de rotina clara de gestão da equipe e representantes Falta de acompanhamento sistemático após envio de amostras ou entrada de novos representantes Gestão comercial muito reativa 2. Baixa prioridade do produto na carteira dos representantes A linha de costura é um insumo de baixo valor comparado a produtos como tecidos Por isso frequentemente não recebe prioridade nas vendas 3. Falta de acompanhamento da carteira de clientes Não existe monitoramento estruturado de: ciclo de compra inatividade de clientes perda de clientes 4. Baixa exploração do potencial da carteira A empresa possui cerca de 300 clientes ativos por mês Mas a base cadastrada é aproximadamente três vezes maior 5. Falta de gestão do mix de produtos As metas são baseadas apenas em faturamento e número de clientes ativos (positivação) Não há indicadores ligados a mix ou margem.</t>
  </si>
  <si>
    <t>Não foi mencionado um evento específico ou prazo imediato. Porém existe uma pressão estratégica interna por crescimento, já que a empresa possui capacidade produtiva ociosa e deseja acelerar a expansão comercial. A decisão está ligada à necessidade de profissionalizar a área comercial e estruturar o crescimento da empresa.</t>
  </si>
  <si>
    <t>Os principais indicadores que precisam evoluir são: Crescimento do faturamento Número de clientes ativos (positivação) Retenção de clientes Gestão da carteira Exploração do mix de produtos Performance do canal de representantes Previsibilidade de vendas Hoje os indicadores acompanhados são basicamente: faturamento número de clientes ativos</t>
  </si>
  <si>
    <t>Ficou combinado que a VendaMais irá: Elaborar e enviar uma proposta inicial de diagnóstico comercial O diagnóstico terá como objetivo gerar um raio-x da operação comercial A partir dele serão apresentadas recomendações estratégicas e operacionais Após o envio da proposta: O cliente irá analisar o material Em seguida será agendada uma nova conversa para tirar dúvidas e discutir a proposta.</t>
  </si>
  <si>
    <t>Andre</t>
  </si>
  <si>
    <t>Souza</t>
  </si>
  <si>
    <t>Indústria Têxtil</t>
  </si>
  <si>
    <t>Brusque</t>
  </si>
  <si>
    <t>Rodrigues</t>
  </si>
  <si>
    <t>Analista de RH</t>
  </si>
  <si>
    <t>Resolveu internamente</t>
  </si>
  <si>
    <t>Indústria Química</t>
  </si>
  <si>
    <t>Americana</t>
  </si>
  <si>
    <t>Projeto de Treinamento</t>
  </si>
  <si>
    <t>Atacado</t>
  </si>
  <si>
    <t>Indústria</t>
  </si>
  <si>
    <t>Diagnóstico Comercial - Thega</t>
  </si>
  <si>
    <t>Thega Indústria e Comércio</t>
  </si>
  <si>
    <t>mairon.mesquita@thega.com.br, mairongp@gmail.com</t>
  </si>
  <si>
    <t>+5531984574075, 3531131073, 31984574075</t>
  </si>
  <si>
    <t>A Thega é uma indústria com 21 anos de mercado. Originalmente focada em um único produto (disco diagrama tacógrafo), a empresa expandiu seu mix de produtos para incluir bobinas térmicas e etiquetas para utilizar sua capacidade produtiva. O modelo de venda é B2B, realizado majoritariamente através de distribuidores (de peças, filtros e lubrificantes), e não diretamente para o cliente final. Atualmente, a empresa enfrenta um momento de estagnação, tendo parado de crescer desde 2025.</t>
  </si>
  <si>
    <t>A estrutura comercial é composta por: Equipe interna: 16 vendedores. Representantes: 35 representantes comerciais em todo o Brasil. Modelo de atuação: Híbrido, com atuação mista entre equipe interna e representantes, especialmente nas linhas de bobinas térmicas e etiquetas.Sistemas: Utilizam o ERP Totus Proteus e o CRM HubSpot (versão gratuita).</t>
  </si>
  <si>
    <t>A Thega buscou a VendaMais para obter uma visão externa que auxilie na identificação de falhas em processos, abordagem ou perfil de cliente. O objetivo é encontrar soluções que alinhem teoria e prática para garantir um crescimento contínuo, rentável e sustentável. A empresa deseja estruturar sua operação, organizar canais e carteira, formalizar políticas e implementar inteligência comercial.</t>
  </si>
  <si>
    <t>Fala Eryclys, tudo bem? Quero agradecer novamente pela disponibilidade de vocês nas conversas e pelo tempo dedicado na apresentação da proposta para a THEGA. Estamos realizando uma análise mais criteriosa das propostas recebidas. Embora todas tenham como objetivo a evolução da nossa estrutura comercial, existem diferenças importantes de escopo e abordagem, o que demanda uma analise com bastante atenção. Como passamos a semana em tratativas com todos, tivemos também um pequeno delay interno nessa análise, e ainda temos o fato de minhas férias precisarem ser adiantadas por conta de um ajuste de calendário interno. Por conta disso, em conversa com a Diretoria , decidimos aguardar meu retorno para que possamos concluir a avaliação com mais segurança e definir com qual parceiro iremos seguir. De toda forma, independentemente da decisão final, faremos questão de dar um retorno a todos que participaram conosco, especialmente em respeito pelo tempo e dedicação que vocês tiveram nas conversas e reuniões conosco. Agradeço novamente pela atenção e seguimos em contato. Retorno de Férias dia 19.03.2026</t>
  </si>
  <si>
    <t>https://cdn.bitrix24.com.br/b19630473/main/e06/e061f492e81819ee8588a95ba00f371b/51aac99fc328d9f7eb7bc17266f96731.pdf</t>
  </si>
  <si>
    <t>O principal desafio é o sentimento de que a empresa atingiu um "teto" e precisa de decisões internas para evoluir. Além disso, foram pontuados: Dificuldade em obter informações detalhadas da equipe interna e dos representantes. Falta de exclusividade dos representantes, que trabalham com outras pastas. Dificuldade interna em trabalhar com o mix de produtos novos (considerado uma "zona de conforto"). Concorrência predatória no segmento de suprimentos/etiquetas.</t>
  </si>
  <si>
    <t>Sim. A empresa teve resultados insatisfatórios nos últimos dois meses e o ano de 2025 foi pior que 2024, indicando urgência na tomada de decisão. Além disso, há uma pressão interna por "pensar fora da caixa" para reverter o cenário atual.</t>
  </si>
  <si>
    <t>Embora não tenham sido citados números específicos, o foco é em:Rentabilidade: Melhorar a margem, especialmente em produtos commodities.Organização e Governança: Estruturar a gestão da carteira, políticas comerciais e rituais de liderança.Inteligência Comercial: Previsibilidade e capacidade de análise para tomada de decisões.Gestão de Canais: Aumentar o controle sobre a operação e o desempenho dos representantes.</t>
  </si>
  <si>
    <t>Ficou definido que a VendaMais enviará a proposta para um diagnóstico comercial (projeto de 3 meses, acelerável para 2 meses) no mesmo dia da reunião.</t>
  </si>
  <si>
    <t>Prezado Eryclys, tudo bem? Gostaria de agradecer pela disponibilidade, transparência e qualidade das interações ao longo de todo o processo. Foi uma troca muito produtiva e agregadora para nós. Após as análises internas e alinhamentos finais, seguimos com a definição de um parceiro para este projeto e neste momento, optamos por avançar com outra empresa que entendemos estar mais aderente às prioridades atuais da companhia. Reforço que a decisão não desabona em nada a proposta apresentada por vocês, que foi muito bem estruturada e consistente. Pelo contrário, valorizamos bastante o trabalho conduzido e deixamos as portas abertas para oportunidades futuras. Agradeço novamente pela atenção, dedicação e profissionalismo ao longo de todo o processo. Seguimos à disposição. Atenciosamente</t>
  </si>
  <si>
    <t>Mairon</t>
  </si>
  <si>
    <t>Mesquita</t>
  </si>
  <si>
    <t>Gerente Nacional de Vendas</t>
  </si>
  <si>
    <t>Três Pontas</t>
  </si>
  <si>
    <t>Vendas Consultivas de Alta Performance</t>
  </si>
  <si>
    <t>Igor</t>
  </si>
  <si>
    <t>Aceleração Comercial.</t>
  </si>
  <si>
    <t>Aurora</t>
  </si>
  <si>
    <t>Aurora Coop</t>
  </si>
  <si>
    <t>claudia-oliveira@auroracoop.com.br</t>
  </si>
  <si>
    <t>A Aurora é referência em tecnologia e processamento de alimentos no Brasil e</t>
  </si>
  <si>
    <t>Nessa equipe de CS possuem 30 colaboradores</t>
  </si>
  <si>
    <t>Precisam de uma palestra no modelo Disney</t>
  </si>
  <si>
    <t>https://cdn.bitrix24.com.br/b19630473/main/ba1/ba1f11f85fcaf8756c06a9794ecc198f/9d02d6b8c602effdbe67b04520a4641e.pdf</t>
  </si>
  <si>
    <t>Palestra VM</t>
  </si>
  <si>
    <t>Foco na excelência no atendimento</t>
  </si>
  <si>
    <t>O evento vai ocorrer em Maio</t>
  </si>
  <si>
    <t>Atendimento</t>
  </si>
  <si>
    <t>Vão definir, cadastrar no sistema e enviar para compras aprovar</t>
  </si>
  <si>
    <t>Como nas maiorias das propostas da Aurora, não tivemos retorno, na plataforma só da baixa, e Claudia que foi a demandante não responde nem atende o telefone. Já é a 4° proposta que fazem isso. Só usam a proposta para políticas internas.</t>
  </si>
  <si>
    <t>Claudia</t>
  </si>
  <si>
    <t>Oliveira</t>
  </si>
  <si>
    <t>Chapecó</t>
  </si>
  <si>
    <t>Agronegócio</t>
  </si>
  <si>
    <t>SeguroCred</t>
  </si>
  <si>
    <t>comercial1@segurocred.com.br</t>
  </si>
  <si>
    <t>A Seguro Cred é uma empresa SaaS que comercializa um software voltado para o setor jurídico e empresarial. Atualmente, o modelo de cobrança é por consulta, sem mensalidade fixa, embora exista o desejo da gestão de implementar planos de assinatura no futuro. O público-alvo principal são advogados e empresas (CNPJ). empresa possui uma base de 50.000 clientes. O momento é de busca por crescimento e eficiência, com foco pessoal da interlocutora (Sabrina) em aumentar o faturamento ainda este ano.</t>
  </si>
  <si>
    <t>O time é enxuto, contando com uma vendedora (auxiliar comercial) focada em prospecção e conversão. Tipo de time: Interno, operando com um modelo de inbound. Existem duas pessoas dedicadas à ativação de cadastro e compliance (validação de dados sensíveis). O site é a principal porta de entrada via tráfego pago no Google. Sabrina atua na parte de estratégia e crescimento, servindo como ponte entre a operação e o dono/diretor (Jonathan).</t>
  </si>
  <si>
    <t>Sabrina buscou a VendaMais para ter uma análise de fora (um "raio X") que valide sua percepção de que o problema está no marketing, dando a ela embasamento técnico para apresentar ao chefe. Identificar onde o dinheiro está sendo "deixado na mesa", alinhar a persona entre marketing e vendas, e otimizar o processo de atendimento e conversão.</t>
  </si>
  <si>
    <t>https://cdn.bitrix24.com.br/b19630473/main/669/6691c1e4888ca21acfe9ee2a457ac047/80a9270dce0720ecda52bb074ec78991.pdf</t>
  </si>
  <si>
    <t>Reunião VendaMais e Segurocred - Sabrina - Transcrição 00:00:00 Eryclys Freire: Boa tarde. Eu eu não te ouço. Tá me ouvindo bem agora? Comercial Segurocred: Tô ouvindo. Você tá conseguindo me ouvir? Eryclys Freire: Eu tô te ouvindo agora. Comercial Segurocred: Ah, tá. Tá bom. Eryclys Freire: Deu certo. Vamos lá. Me conte o teu desafio. Comercial Segurocred: Então, né, como a gente já conversou, eu sou a Sabrina, trabalho aqui na Seguro Cred. A a Seguro Cred é uma empresa SAS, a gente vende um software, né, ali, como já comentei. E hoje a gente tá com esse probleminha aí nas vendas. Na verdade, a gente chegou em 50.000 clientes. Hoje a gente tem 50.000 clientes dentro da nossa base, porém a gente não consegue, a gente tá avançando devagarzinho ali tudo, só que a gente tem muito cliente que entra ali pelo nosso site, se cadastra, só que quando a gente vai tentar entrar em contato, às vezes não dá certo. A gente não assim, eu eu eu, só para contar um pouquinho da história, eu entrei então quando em 2018, comecei a trabalhar aqui na empresa, daí fui crescendo e hoje eu tô mais nessa parte de estratégia e crescimento. 00:01:55 Comercial Segurocred: Então eu entrei e eu tô tentando ver o que que pode ser esse problema. Só que eu não tenho esse conhecimento técnico, né? Eu tenho um conhecimento que eu fui adquirido. Você vai estudando algumas coisas, mas, por exemplo, para mim hoje o problema é mais o marketing do que o nosso atendimento interno. Mas eu não consigo passar isso pro meu chefe porque eu precisaria de uma análise de fora. Eryclys Freire: Eh, hoje, hoje como que é, Sabrina, o marketing de vocês hoje? Como que é a estrutura do marketing de vocês Comercial Segurocred: Hoje a gente faz com uma agência, Eryclys Freire: hoje? Comercial Segurocred: na verdade terceirizada. Ela já faz desde quando a seguro crédit iniciou e eles usam a mesma publicação de quando a seguro crédito iniciou. Eu até quando, por exemplo, quando eu entrei para assumir essa parte aí de comunicação ponte entre social, mídia e tudo mais, eu até pedi para criarem outros criativos, tentarem outras propostas para ver se a gente conseguia trazer um público, né, mais certo ali. Mas mesmo assim, eh, eu acho essa, eles fazem o tráfego pago, essa agência e aí a gente tem uma social mídia por fora, que daí ela cuida do Instagram e redes sociais 00:03:24 Eryclys Freire: Tá. Hoje o maior volume vem pelo Instagram e redes sociais ou pelo Google? Comercial Segurocred: pelo Google. Eryclys Freire: Pelo que o Google é pelo site de vocês que vocês impulsionam lá. Comercial Segurocred: Isso Eryclys Freire: Você sabe quanto de recurso que vocês estão colocando no Google hoje em valor financeiro? Comercial Segurocred: a gente até o até antes de dezembro, dezembro e janeiro a gente diminuiu, né, o valor, mas tava em 16.000, a gente tava investindo isso. Eryclys Freire: Mês, Comercial Segurocred: Só que daí eles dividem esses 16.000 1000 ali, Eryclys Freire: tá? Comercial Segurocred: eh, Eryclys Freire: Pelos Comercial Segurocred: 80% para Google e 20% para Eryclys Freire: criativos. Tá, Comercial Segurocred: Méfico. Eryclys Freire: tá 20% para meta. Isso tirando que eles investem para ter a social mídia. Comercial Segurocred: É que daí a social mídia a gente paga a parte, eles não a gente não tem com eles um plano que tem tudo incluso deles. Eles fazem só a parte de tráfego pago e a social mídia é outra pessoa à Eryclys Freire: Tá. Comercial Segurocred: parte. 00:04:24 Eryclys Freire: Tá. E essa social mídia, ela tá, ela faz a gestão do Instagram, das redes sociais de vocês. É impulsionada alguma publicação de vocês nas redes sociais? Comercial Segurocred: no Instagram não, Eryclys Freire: Tá Comercial Segurocred: porque segundo eles ali, Eryclys Freire: ótimo. Comercial Segurocred: eles falaram que o Instagram não converte público, advogado e enfim, Eryclys Freire: Não, Comercial Segurocred: aí eles não fazem. Eryclys Freire: tudo bem. Eu eu só tô perguntando até para eu traçar uma linha de raciocínio do que eu consigo trazer para vocês, entendeu? Porque hoje na Venda Mais, Comercial Segurocred: Sim. Eryclys Freire: né, hoje a Venda Mais ela é um ecossistema, então nós temos mais de 30 anos no mercado. A gente atua tanto aqui no Brasil, América Latina inteira e a gente é dividido em algumas unidades de negócio. Então eu tenho a consultoria comercial, que aí não é o teu caso, não é o que eu recomendaria para você, que a gente faz, Comercial Segurocred: Угуm. Eryclys Freire: a gente estrutura todo o processo comercial de marketing e tudo mais. Eh, isso a gente faz com médias e grandes empresas que querem mudar muitas vezes o modelo de trabalho. 00:05:26 Eryclys Freire: Com vocês, eu tô vendo que já tá bem estruturadinho, você já tem esse caminho estrutural. A gente tem a parte de treinamentos corporativos, então a gente eh a gente iria até a a Seguro Cred e treinaria todo o teu time em abordagem, negociação e tudo mais, as lideranças. E tem o diagnóstico comercial. O diagnóstico comercial, ele é como se fosse um raio X. É assim, a Sabrina vai ao médico, ela tá com a dor no peito, antes de te dar qualquer diagnóstico, ele fala assim: "Ah, vai lá, faz um R X." Quando você volta com a foto que você não consegue ver, né, Comercial Segurocred: Sim. Eryclys Freire: que você volta com a foto, ele te fala assim, ó, tem um probleminha aqui, ó. Talvez o teu pulmão tá comprometido nisso, nisso e nisso. Tu precisa tomar esse e esse remédio. O diagnóstico comercial é basicamente isso. A gente vai para dentro da tua operação, Comercial Segurocred: M. Eryclys Freire: vai achar um monte de coisinha e vai te dar percepção e recomendação. A percepção é o que nós encontramos. Será que o problema é mesmo marketing? Aí a gente vai olhar pro marketing. 00:06:32 Eryclys Freire: Então beleza. Ó, a Sabrina acha que o problema é o marketing. Comercial Segurocred: Угуm. Eryclys Freire: Vamos lá ter reuniões com essa agência, né, terceirizada, que aí é um ponto também que eu queria ver com você se há se há essa liberdade, né, de nós irmos e conversarmos com eles, né, no sentido de investigar a operação deles. Então eu preciso saber qual que é o perfil ideal de cliente da Seguro Cred, como que eles estão impulsionando essas publicações, como que tá a classificação no Google, como que tá os criativos, se tá sendo feito, se tá sendo renovado, se não tá, quantos tem, quantas publicações eles estão colocando que tá tá trazendo os clientes, Comercial Segurocred: Угуm. Eryclys Freire: qual o trabalho que eles estão fazendo dentro do site. Beleza? determinamos quem é o público, como tá sendo feito e aí a maneira que tá chegando. Aí a gente mee, a gente faz praticamente o caminho, né? A gente dentro dessa dentro dessa cadência, eu vou olhar toda a jornada do cliente desde o levantamento de necessidades lá na lá no comecinho, que é o quê? Que é o tipo de publicação que a Seguro Cred tá colocando na internet, né, no site e tudo mais. 00:07:45 Eryclys Freire: que tipo de propaganda que a gente tá fazendo pro advogado olhar e falar: "Nossa, eu preciso disso aqui". E aí ele precisa disso. Quem é esse cara, né? Quem é esse cliente que precisa disso? Eu preciso saber exatamente qual que é a persona desse cara, né? E aí ele entra no funil e aí ele vai aí como que é o repasse disso, né? Como que tá estruturado, por exemplo, hoje o funil lá da Sabrina, como que esse lead chega para vendas? Então, ah, ele chega sem telefone, ele chega sem e-mail, ele só chega com nome. Aí nós temos um problema muito grande, porque aí como que o vendedor vai adivinhar por osmose e qual que é o telefone do cliente, né? Então, Comercial Segurocred: Ah. Eryclys Freire: temos um problema. Ah, mas se bem que ele vem, ele vem completinho os dados de cadastro, né? Vem completinho. Tá bom. Mas a pergunta é: esse é o cliente ideal ou não é? Quem é o cliente ideal? E são essas perguntas que a gente vai fazer tanto para vocês quanto pro pessoal do marketing. 00:08:42 Eryclys Freire: Nesse meio do caminho, a gente vai ver que às vezes eles têm uma visão e internamente vocês têm outra. Comercial Segurocred: Угуm. Eryclys Freire: Aí nós temos um problema. E aí eu vou ter material para chegar no no teu chefe, né, e falar para ele: "Olha só, né? Eh, a vendas tá pensando, vendas tá pensando, a Sabrina tá pensando em vender para esse tipo de cliente aqui, mas o marketing acha que o cliente ideal de vocês é esse aqui. Tá bom? Para que que para que que a gente tem que vender? né? E aí a gente chega com o problema. Primeira coisa é a persona, depois a gente vai pro processo que aí é beleza, estamos alinhados aqui, o cliente é o mesmo na visão da do time da Sabrina e na visão do marketing, o cliente é o mesmo. Tá bom? Como que tá sendo o atendimento desse cliente? Qual tá sendo a cadência de contatos? Como que tá sendo a abordagem? Tem script? Não tem? Tem CRM? Tem followup? Como que tá sendo feito? E isso a gente faz, isso a gente vai fazendo perguntas para todo mundo dentro da cadeia até a conversão em venda. 00:09:42 Eryclys Freire: Qual que é a taxa de conversão? Se chegar a 10, a cada 10 eu fecho quantos? Ah, eu fecho dois. Pô, é 20% taxa de conversão. É aceitável ou não é? Qual que é o ticket médio, né? Comercial Segurocred: Uhum. Eryclys Freire: Que eu vi que vocês têm produtos que o cara paga por consulta e tem também que ele paga por assinatura, né? Comercial Segurocred: Na verdade, a gente não tá trabalhando com a assinatura ainda. Eh, o dono ali, o gerente tava tentando, querendo implantar isso. Eles fizeram um contrato pensando nessa implantação de planos, mas ainda não foi liberada. não é algo que eles têm em mente para liberar ali pros clientes nesse momento. Então, ainda a gente tá trabalhando com essa questão da que não tem mensalidade e tudo mais. Eryclys Freire: Tá. E agora olhando, ô Sabrina, pro teu lado, né, pro lado de vendas, como que tá a estrutura hoje? Você tinha falado para mim que são três vendedores, Comercial Segurocred: É, na verdade assim, Eryclys Freire: né? Comercial Segurocred: uma vendedora, ela é vendedora mesmo, auxiliar comercial, que daí ela faz o atendimento da prospecção ali da venda, ela recebe o contato lead do cliente ali e aí ela tenta fazer a conversão, ela faz o atendimento. 00:10:58 Comercial Segurocred: A gente tem alguns scripts, eu até eu vou sempre olhando os scripts, vou tentando mudar, tentando ter um script mais consultivo. Hoje em dia o cliente ele não quer que você seja muito agressivo e tudo mais, né? Então você tem que tentar, é exatamente aquilo que você falou, tentar fazer com que o cliente perceba eh qual é o valor que o nosso serviço vai agregar para ele, né? Então, a gente foi alterando algumas coisas, Eryclys Freire: Mm. Comercial Segurocred: tenho essa vendedora e aí eu tenho duas pessoas que fazem a ativação do cadastro. Então, como eu falei lá, como a gente faz, a gente eh lida com informações ali dados sensíveis, então eu tenho duas pessoas que ligam para esses clientes para confirmar que realmente são eles e fazem a liberação do cadastro. Eryclys Freire: Tá? Então, eh, de venda mesmo tu tem uma pessoa e as outras duas elas fazem mais Comercial Segurocred: a uma pessoa. Eryclys Freire: parte operacional de validação. É como se fosse o complice da venda, Comercial Segurocred: Isso. Eryclys Freire: tá? Eh, Comercial Segurocred: Isso. Eryclys Freire: essa vendedora, eh, ela tem um CRM que ela 00:12:11 Comercial Segurocred: Temos o CRM que, como eu te falei, Eryclys Freire: trabalha, Comercial Segurocred: é o CRM que assim, só para você entender, o dono da empresa, ele era programador. Aí ele ele é ele tem Eryclys Freire: ele fez o CRM, Comercial Segurocred: essa praticamente quase tudo ele faz que tem Eryclys Freire: ele fez o sistema da empresa. Tá bom. Comercial Segurocred: que usar aqui dentro. Eryclys Freire: Ótimo. Ótimo. Comercial Segurocred: Daí ele fez um CRM próprio pra gente usar. Eryclys Freire: No. Comercial Segurocred: A gente ainda a gente usa ele, mas não é a gente não tem assim tanta habilidade assim. Até uma coisa que eu preciso entender. O que eu tava pesquisando o que que é necessário nesse CRM? Será que o que a gente tem hoje realmente é importante? Porque hoje a gente colocou lá e cliente que qualificado, desqualificado, tem umas outras coisas, mas eu acho que não é também o que importa ali, né? ter que analisar para ver se realmente o que tem ali é o que faz sentido, mas a gente usa esse CRM Eryclys Freire: Tá, tá. É isso. Comercial Segurocred: próprio. 00:13:09 Eryclys Freire: No diagnóstico comercial nós fazemos também, a gente avalia toda a parte sistêmica e cadência do a dentro da jornada do cliente, por onde o cliente passar, a gente vai olhar. Comercial Segurocred: Sim, Eryclys Freire: Então, Comercial Segurocred: entendi. Eryclys Freire: se ele passa por dentro do CRM, Comercial Segurocred: M. Eryclys Freire: a gente olha, né? Mas eu acho que é é basicamente isso. Eu tenho que fazer uma um diagnóstico comercial com vocês de inbound e outbound do que é exatamente isso. E aí eu queria ver com você a liberdade da gente dentro desse processo a gente ter contato com a empresa terceirizada que eles podem se negar também. Aí eu não se de relacionamento que isso que assim para eu falar que eles que eles estão fazendo errado, é é como se fosse assim, Comercial Segurocred: Mhm. Eryclys Freire: você tá pagando para uma empresa vir e validar se o que eles estão fazendo tá certo ou se tá errado, entendeu? E aí pode ter muito atrito na comunicação e tudo mais. Ele pode até esconder às vezes dados. Então, acho melhor ficar bem bem bem no no sigilo, mas eh deixar bem claro quais são os papéis, qual que é a proposta da venda a Mais, né, para que isso não aconteça. 00:14:21 Eryclys Freire: Eh, que que eu queria ver contigo também, eh, hoje o faturamento do teu departamento, como que tá? Como que tá hoje o faturamento de Comercial Segurocred: O faturamento é em torno de 600 a 700.000, Eryclys Freire: você? Comercial Segurocred: como te passei ali. Eh, Eryclys Freire: Tá. Comercial Segurocred: na verdade, hoje até a gente, eu tô até estudando algumas coisas, porque a gente precisa trabalhar muito a retenção do cliente também, né? Eu acho que não sei se vocês trabalham, mas acho que é mais com a parte de vendas, né? Eryclys Freire: Sim, a gente faz toda a parte, a gente trabalha sempre na parte comercial e de marketing. S. Comercial Segurocred: Daí a gente eh mas assim, hoje em média uns 12.000 clientes usam o sistema mensalmente e a gente tem esse faturamento que já é um faturamento bom assim, né? Aí, mas é mais ou menos em torno disso mesmo. Eryclys Freire: Tá. E me diz uma coisa, qual que é a taxa de conversão desses leads que estão chegando? Comercial Segurocred: Ai, agora daí eu não saber te dizer. 00:15:29 Eryclys Freire: É, mas por exemplo, falar para mim assim, Sabendo, a cada 10 que chega, a vendedora fecha Comercial Segurocred: É que assim, Eryclys Freire: quantos? Comercial Segurocred: ó, hoje também tem isso, tem essa questão. A gente já tem um, a gente tem um processo de vendas, não sei se você chegou a se cadastrar pro site, testar alguma coisa, acho que não, né? Eryclys Freire: Não, ainda não. Comercial Segurocred: Então, o nosso processo de vendas, ele é ele tá assim, o cliente ele vai se cadastrar no site, vai colocar alguns dados que é nome, e-mail e telefone. Daí ele vai ser direcionado para uma página de autocadastro. Daí ele já seleciona se ele é advogado ou se ele é CNPJ. Aí ele vai lá, faz o cadastro e já esse lead ele não cai paraa vendedora. Só cai paraa vendedora os leads que acessaram a página, mas não finalizaram o cadastro. Eryclys Freire: Tá? O o que finalizou o cadastro é um sistema de autocompra. Comercial Segurocred: Isso, Eryclys Freire: Ele ele faz assinatura normal. Comercial Segurocred: isso. Eryclys Freire: E o compli disso como que fica lá na ponta? 00:16:28 Eryclys Freire: O próprio sistema já acusa porque tu falou que dentro, por exemplo, esse que não preenche o cadastro, a vendedora entra em contato. Ela entra em contato, beleza, ela converteu. A partir do momento que ela converte, vai para outra pessoa para validar aquilo, certo? Comercial Segurocred: Isso, ela manda o link de cadastro, daí ele faz o cadastro ali no sistema e daí a o pessoal de ativação entra em Eryclys Freire: Tá. É, Comercial Segurocred: contato. Eryclys Freire: eu entendi. Então, para tu medir a taxa de conversão, é, dá para fazer, porque tudo que cai é automatizado, já cai no CRM a oportunidade para ela quando o cliente não faz o cadastro. Então, Comercial Segurocred: de Sim. Eryclys Freire: lá no CRM tu tem a quantidade que vem e a quantidade que ela vende por mês, por exemplo, entendeu? Comercial Segurocred: O que que acontece? Eryclys Freire: É. Comercial Segurocred: Até que eu acho, eu acho que o cliente que tá vindo é qualificado, que é o problema que a gente viu ali até no CRM mesmo, é que, por exemplo, eh, entra muito cliente que fica sem resposta, mas o sem resposta no sentido não é que a vendedora não tentou contato, é que ela tentou contato, mas o cliente simplesmente não respondeu. 00:17:37 Comercial Segurocred: Ele não deu retorno, não falou absolutamente nada. Então, a gente fez até o o ano passado, acho que eu fiz com a com a vendedora, uma média aí de, por exemplo, entravam assim 2.000 clientes pelo Google. 2.000 clientes entraram e acessaram o site e entraram nessa aba de cadastro. Eryclys Freire: Tá. Comercial Segurocred: desses 2.000 clientes ali, a gente perdia praticamente 1500 clientes nesse Eryclys Freire: Nossa. Comercial Segurocred: sem contato. Então eles caíam nessa nessa aba de sem contato, ela tenta, eles eles entravam no leads, né? A vendedora tentava contato com o cliente, mas não tinha resposta, não tinha nada. Até eu cheguei a passar isso pro marketing, só que é um pouco complicado ali porque eu passei e falei: "Olha, acho que tem que ajustar alguma coisa que aí eles falam que vão ajustar, mas eu não tenho acesso também ao que eles fazem. Eu eles me mandam relatórios mensais, eu tento ali entender um pouco, mas a gente não tem assim esse acesso real, sabe? o que que realmente tá sendo feito, como tá sendo feito. Então, 00:18:48 Eryclys Freire: Tá. Comercial Segurocred: eu acho que é um número muito alto de clientes para se Eryclys Freire: Vocês ficam em Curitiba? Claro que é. Claro que é. Comercial Segurocred: perder. Eryclys Freire: É assim, não tem nem muito o que argumentasse. De 2.000 clientes tu converte 500. Cara, é um número, tem muito dinheiro ficando na mesa, né? Comercial Segurocred: Mhm. Eryclys Freire: Ah, e tá. E e na tua percepção, se a gente fosse fazer um gráfico de pizza, né? Eh, quantos desses que não finalizam o cadastro, você não consegue contato hoje, por exemplo. Então, vamos, vamos usar esse número que você usou. 2.000, tu vendeu para 500. Então, tu tem 100 lá que tu não conseguiu, não conseguiu converter. Dessas conversões, se você pudesse falar assim para mim, Ericles, ó, 1000, eu não consegui contato nenhum. Comercial Segurocred: É mais ou menos isso, Eryclys Freire: Mas por quê? Porque não tem telefone. Comercial Segurocred: porque a pessoa simplesmente não responde. Eryclys Freire: Ai, 00:19:50 Comercial Segurocred: A gente tem o telefone, a gente assim, Eryclys Freire: Deus. Comercial Segurocred: porque lá no CRM ele cai o contato do cliente já com o WhatsApp. Então a vendedora ela tenta ligar, Eryclys Freire: Sim. Comercial Segurocred: ela tenta primeiro o WhatsApp, né? Porque hoje em dia as pessoas primeiro olham mais o WhatsApp, daí se ela não consegue ela tenta ligar pro cliente. Aí se ela não consegue, a gente faz três tentativas, ela faz três tentativas. Aí se o o cliente não dá retorno, ele simplesmente não retorna, não fala nada, nem que não quer, ou que se cadastrou por engano ou que não tem interesse, nada, simplesmente não responde. Eryclys Freire: Tá, tá bom. Eh, eu eu acho eu a gente consegue fazer o diagnóstico. Geralmente o diagnóstico da Avena Mais ele demora em torno de 90 dias, né? No no contexto de vocês, Comercial Segurocred: Mhm. Eryclys Freire: como é só topo e fundo de funil. Eh, eu acho que eu acredito que dá pra gente fazer em 30 dias, né? Vocês estão em Curitiba? Ótimo, Comercial Segurocred: Isso. Eryclys Freire: que aí eu não tenho nem custo de deslocamento. 00:20:55 Eryclys Freire: Eu sou de São Paulo, mas a gente tem tem um escritório também em Curitiba. Aí eh uma questão, Comercial Segurocred: Uhum. Eryclys Freire: Sabrina, expectativa de valor, né? Isso é uma coisa que você vai levar para pro teu diretor como proposta. É uma coisa que você já tem um budget determinado para você gastar em relação a você usar em relação a Comercial Segurocred: Eu vou, Eryclys Freire: isso, Comercial Segurocred: eu tenho que repassar o orçamento para ele. Eryclys Freire: tá? Então eu vou fazer uma proposta, né? Comercial Segurocred: Uhum. Eryclys Freire: E aí eu vou te encaminhar no WhatsApp com base no que a gente conversou. Eh, e aí aí a gente viabiliza para uma próxima conversa com ele para fechamento ou até negociação, né? Se você quiser, eh, a gente marca outra reunião até para eu te apresentar essa proposta para você chegar lá preparada e vender isso para ele e vender para ele também, Comercial Segurocred: Sim. Eryclys Freire: né? Comercial Segurocred: É, Eryclys Freire: que eu acho Comercial Segurocred: na verdade assim, eu eles vão mais pelo que eu vou falar mesmo, assim, eh, eu vou eu só entender como vai funcionar, o que que vocês vão precisar fazer, como que vai seguir, né, qual vai ser o caminho, que nem você falou: "Ah, eles vão ter que conversar com o marketing, eh, vai precisar olhar, então eles vão ter que deixar porque querendo ou não, eu entendo assim, a gente tá pagando, mas os dados são da nossa empresa, 00:22:25 Comercial Segurocred: né? Então a gente precisa, a gente quer converter mais, a gente quer fechar mais clientes pra gente aumentar esse faturamento. Ainda esse ano é uma proposta, é uma meta que eu tenho até pessoal minha, então eles vão ter que abrir. Daí o Jonathan, o o nome dele é Jonathan, né, o dono. Então acho que ele é mais incisivo nessa questão de falar ali para eles, ó, vocês têm que abrir os dados, tem que repassar para eles ali tudo. Mas ele vai mais pelo que eu vou falar mesmo. Vou só explicar para ele ali, ó. Vai ser assim, assim, assado e o valor é tal. Aí posso fechar como que vai ser? Tá liberado e daí é basicamente isso Eryclys Freire: Tá? Comercial Segurocred: assim. Eryclys Freire: Então vamos seguir nessa linha. Então vamos marcar uma próxima uma próxima reunião, eu e você, Comercial Segurocred: Uhum. Eryclys Freire: que eu acho que é melhor, que aí eu consigo te apresentar uma proposta. Eh, Comercial Segurocred: Eu vou estar em home Eryclys Freire: quando que você vocês vão parar no carnaval agora, Comercial Segurocred: office, não sei se vocês vão Eryclys Freire: tá? É, Comercial Segurocred: parar. Eryclys Freire: na segunda não, mas na quarta-feira de manhã a gente vai tá aqui. Comercial Segurocred: Ã, na quarta-feira, na quarta-feira para mim pode ser. Eryclys Freire: Quarta-feira, Comercial Segurocred: Uhum. Eryclys Freire: qual o horário que é melhor para você? Comercial Segurocred: Pode ser de manhã mesmo, umas 10:30, 10 horas. 10:30. Eryclys Freire: Deixa eu anotar aqui. Vou encaminhar para você, então, que aí eu apresento uma proposta, desenho certinho a minha ideia e aí eu vendo para você, para você vender para ele. Tá bom? Mas dá pra gente fazer bastante coisa. Dá para fazer bastante coisa. Vai ser legal. Vai ser legal. Tá bom. Obrigado, viu, Sabrina? Tá bom.</t>
  </si>
  <si>
    <t>O problema crítico é a alta taxa de leads que se cadastram, mas não respondem às tentativas de contato da vendedora ("sem contato"). De 2.000 clientes que acessam a aba de cadastro, cerca de 1.500 são perdidos porque simplesmente não retornam as chamadas ou mensagens de WhatsApp. uspeita-se que a agência de marketing esteja atraindo um público desqualificado ou usando criativos obsoletos.</t>
  </si>
  <si>
    <t>Há uma pressão interna para aumentar o faturamento e a base de clientes ativos ainda no ano de 2026. A empresa investe cerca de R$ 16.000 mensais em tráfego pago e precisa que esse valor traga um retorno mais eficiente em vendas diretas.</t>
  </si>
  <si>
    <t>Conversão: Reduzir drasticamente o número de leads "sem contato". Faturamento: Aumentar a receita atual, que gira entre R$ 600.000 e R$ 700.000. Retenção: Trabalhar melhor a base de clientes recorrentes. Organização do Funil: Entender a jornada do cliente e a eficiência do CRM próprio.</t>
  </si>
  <si>
    <t>Elaboração de Proposta: Eryclys Freire (VendaMais) enviará uma proposta de Diagnóstico Comercial com duração estimada de 30 dias. Nova Reunião: Ficou agendado um novo encontro para quarta-feira (pós-carnaval), às 10h30, para apresentar a proposta detalhadamente à Sabrina, para que ela possa "vendê-la" internamente ao dono da empresa.</t>
  </si>
  <si>
    <t>Cliente não tem capacidade de pagamento para o projeto.</t>
  </si>
  <si>
    <t>Planejamento de semestre</t>
  </si>
  <si>
    <t>Cogep Engenharia</t>
  </si>
  <si>
    <t>adriana.vale@cogep.eng.br</t>
  </si>
  <si>
    <t>empresa atua no segmento de engenharia ambiental, com foco em regularização fundiária (REURB), baseada na legislação de 2017 que facilitou o processo para população de baixa renda. O produto tem forte potencial de mercado (“mar azul”), especialmente em municípios que demandam regularização. A empresa está em crescimento acelerado, com aumento progressivo de metas: Ano 1: Meta R$ 1,2M → Resultado R$ 2,8M Ano 2: Meta R$ 4M → Resultado R$ 4,8M Ano atual: Meta R$ 9M O momento atual é de expansão comercial estruturada, com necessidade de profissionalização da área.</t>
  </si>
  <si>
    <t>empresa iniciou com 2 pessoas na área comercial (sem background técnico em vendas). Agora está em fase de expansão para 9 vendedores, distribuídos em diferentes escritórios: Campo Largo Pontal do Paraná Almirante Tamandaré Modelo predominantemente presencial e relacional, com forte atuação em eventos e relacionamento comunitário. Está prevista a contratação de um profissional de Inteligência de Mercado para apoiar estudos, direcionamento estratégico e organização de eventos.</t>
  </si>
  <si>
    <t>A empresa nos procurou para: Estruturar a nova fase de crescimento comercial Desenvolver mentalidade comercial na equipe Padronizar discurso e abordagem Implementar metodologia estruturada de vendas (SPIN) Alinhar técnica de vendas à jornada do cliente e à legislação fundiária Eles esperam elevar o nível profissional da equipe, garantindo previsibilidade e sustentação da meta de R$ 9 milhões.</t>
  </si>
  <si>
    <t>https://cdn.bitrix24.com.br/b19630473/main/47c/47c1848246953d5a0fa4c19e5511fd90/4db46488744ca8a574b6c3091aa26c3b.pdf</t>
  </si>
  <si>
    <t>Alinhamento de Necessidade VendaMais &amp; Cogep Convidados Rafael Bortoloso Anexos Alinhamento de Necessidade VendaMais &amp; Cogep Registros da reunião Transcrição Resumo Parceiros discutiram crescimento comercial empresa engenharia ambiental via expansão equipe necessidade treinamento Crescimento Comercial Desafios Revisar cenário vendas empresa engenharia ambiental foca regularização fundiária identificando desafios falta mentalidade comercial. Expansão Equipe Estruturação Expandir equipe nove vendedores escritórios diferentes Campo Largo Pontal do Paraná Almirante Tamandaré. Contratar profissional inteligência mercado orientar eventos estudos. Metodologia Treinamento Prático Implementar metodologia SPIN para alinhar discurso técnica vendas. Agendar workshop presencial 16 horas março Curitiba com foco atividades práticas. Detalhes Apresentação e Conexão Inicial: Rafael Bortoloso, da Venda Mais, e Adriana Vale iniciaram a reunião, estabelecendo que Adriana já conhecia a Venda Mais e o Raul (sócio) deles, pois ele já havia dado treinamento para uma equipe de um grupo do qual ela fez parte (00:00:00). Rafael mencionou que Raul havia entrado em contato com ele sobre Adriana e que a Venda Mais, sediada em Curitiba, havia feito a transição de gráfica para consultoria de treinamento e um ecossistema de consultoria (00:01:35). Contextualização e Histórico da Venda Mais: Rafael explicou que a Venda Mais tem sua maior base em Curitiba, com quase 40 pessoas na cidade, e também possui bases em Jundiaí e São Paulo (00:01:35). Eles valorizam entender o cenário do cliente antes de atender, um princípio que trouxeram do cooperativismo, e Rafael pediu para Adriana detalhar o contexto deles, incluindo a análise de um processo semestral relacionado ao plano de desenvolvimento (00:02:26). Cenário de Vendas e Desafios da Empresa de Engenharia Ambiental: Adriana Vale detalhou que eles estavam desenvolvendo a área comercial de uma empresa de engenharia ambiental focada em regularização fundiária (Reurb) (00:03:22). Eles notaram que o produto, baseado em uma lei de 2017 que facilitou a regularização para pessoas de baixa renda, estava em um "Mar azul" por não haver um comercial ativo inicialmente. O desafio inicial era que a equipe comercial (duas pessoas) não era da área de vendas, o que exigiu investimento em treinamento e mudança cultural, levando a um crescimento significativo nas metas (00:04:38). Resultados e Metas Comerciais Atuais: Após o treinamento inicial e a implementação de eventos e práticas, a equipe superou significativamente as metas no primeiro ano, alcançando 2,8 milhões contra a meta de 1,2 milhões (00:04:38). No ano seguinte, a meta dobrou para 4 milhões, e eles trouxeram 4,8 milhões. Atualmente, a meta aumentou para 9 milhões, o que exige a contratação e o desenvolvimento de uma nova equipe (00:05:34). Necessidade de Treinamento e Estruturação de Equipe: Adriana expressou a necessidade de contratar e treinar a equipe, que será expandida para nove vendedores em diferentes escritórios (Campo Largo, Pontal do Paraná e Almirante Tamandaré). O objetivo é que a equipe entenda o que é realmente a venda, adquirindo uma "mentalidade de vendedor" e aplicando técnicas alinhadas à jornada do cliente e à legislação fundiária (00:07:49). Eles também planejam contratar uma pessoa para inteligência de mercado para orientar eventos e estudos (00:09:05). Estratégias de Venda e Metodologias Desejadas: Rafael e Adriana concordaram que os vendedores precisam ter tanto relacionamento quanto técnica, e Adriana mencionou que eles utilizam muito a escuta ativa, pois os clientes querem contar suas histórias (00:10:10) (00:11:57). Adriana deseja introduzir a metodologia SPIN (Situação, Problema, Implicação, Necessidade de solução) para ajudar a equipe a ter um discurso alinhado e eficaz, especialmente com clientes simples (00:13:44). Rafael sugeriu a metodologia "oito passos da venda" de Raul, que foca no planejamento, abordagem e identificação da persona (00:10:56). Logística do Treinamento e Próximos Passos: Adriana solicitou um treinamento de dois dias inteiros, preferencialmente após o Carnaval, no início de março (00:14:34). Rafael confirmou que o treinamento seria presencial em Curitiba, e a Venda Mais não cobra logística para a região metropolitana. O workshop seria de 16 horas e incluiria 60% a 70% de atividades práticas, que eles chamam de "real play," para que os vendedores pratiquem a aplicação das técnicas (00:15:20). Adriana se comprometeu a enviar materiais, incluindo uma linha do tempo do processo de RURB, para auxiliar Rafael na elaboração da proposta (00:12:47) (00:16:05). Rafael se propôs a enviar a proposta no final da tarde do dia seguinte . Próximas etapas sugeridas Adriana Vale enviará alguns materiais para Rafael Bortoloso, incluindo uma linha do tempo do processo RURB, para que ele possa elaborar uma proposta. Rafael Bortoloso enviará uma proposta para Adriana Vale amanhã à tarde.</t>
  </si>
  <si>
    <t>Vendas Consultivas 16h</t>
  </si>
  <si>
    <t>O principal desafio é a falta de mentalidade comercial estruturada, já que parte da equipe não tem origem em vendas. Outros pontos críticos: Ausência de método formal aplicado de ponta a ponta Necessidade de organizar discurso e abordagem Transformar relacionamento em processo estruturado Sustentar crescimento acelerado com equipe maior O desafio agora não é vender, mas vender de forma estruturada e escalável.</t>
  </si>
  <si>
    <t>Há urgência devido: Expansão imediata da equipe Meta agressiva de R$ 9 milhões Planejamento para início de março (após Carnaval) Necessidade de alinhar rapidamente a nova equipe antes da consolidação da expansão O treinamento foi solicitado para início de março, em Curitiba.</t>
  </si>
  <si>
    <t>Performance individual dos vendedores Conversão de oportunidades Padronização do discurso comercial Organização do processo de vendas Maturidade comercial da equipe Sustentação do crescimento com previsibilidade, Maior ticket médio Melhor estruturação de funil Clareza na jornada do cliente</t>
  </si>
  <si>
    <t>Maior ticket médio Melhor estruturação de funil Clareza na jornada do cliente</t>
  </si>
  <si>
    <t>o Budget era muito abaixo da nossa proposta.</t>
  </si>
  <si>
    <t>Adriana</t>
  </si>
  <si>
    <t>Vale</t>
  </si>
  <si>
    <t>Engenharia</t>
  </si>
  <si>
    <t>Negociação</t>
  </si>
  <si>
    <t>Palestra Caetano 600 pessoas.</t>
  </si>
  <si>
    <t>ACOMAC BA - Associação dos Comerciantes de Material de Construção</t>
  </si>
  <si>
    <t>gabriel@totalmc.com.br</t>
  </si>
  <si>
    <t>Acomac BH é a associação responsável pelo setor de construção.</t>
  </si>
  <si>
    <t>Possuem mais de 600 assossiados em área de Vendas ou correlacionadas</t>
  </si>
  <si>
    <t>No mês de Maio faremos a nossa quarta convenção de vendas, nelas temos empresários, líderes, representantes comerciais e vendedores de loja de material de construção</t>
  </si>
  <si>
    <t>Pediram um retorno somente na segunda quinzena. Ainda não definiram o palestrante</t>
  </si>
  <si>
    <t>https://cdn.bitrix24.com.br/b19630473/main/c67/c67ceaace83db37500b50953204e667d/a8755b14c45b63319fd4001c2aba92a1.pdf</t>
  </si>
  <si>
    <t>Negociando valores</t>
  </si>
  <si>
    <t>Líderes, gerentes e donos de lojas</t>
  </si>
  <si>
    <t>Palestra Marcelo Caetano</t>
  </si>
  <si>
    <t>Convenção com público variado. Não entrou em datelhes sobre o grupo. Somente que seriam logistas, vendedores e líderes.</t>
  </si>
  <si>
    <t>Precisaram da proposta no dia do contato</t>
  </si>
  <si>
    <t>Conhecimento básico sobre vendas</t>
  </si>
  <si>
    <t>Vão analisar a proposta e retornar com os dois palestrantes que vão ser chamados.</t>
  </si>
  <si>
    <t>Fecharam com o outro palestrante por conta do budget. Não conseguimos chegar no valor que eles pediram</t>
  </si>
  <si>
    <t>Gabriel</t>
  </si>
  <si>
    <t>Novaes</t>
  </si>
  <si>
    <t>Salvador</t>
  </si>
  <si>
    <t>BA</t>
  </si>
  <si>
    <t>HTM</t>
  </si>
  <si>
    <t>HTM Eletrônica</t>
  </si>
  <si>
    <t>adriano.passadori@htmeletronica.com.br</t>
  </si>
  <si>
    <t>Muito bom dia Adriano! Como vocês está? Espero que tudo bem! Aqui é o Fabiano da VendaMais. Quando puder falar, me avisa por favor. Abraços e excelente dia!</t>
  </si>
  <si>
    <t>Boa tarde Adriano! Como você está? Espero que bem! Teve a oportunidade de analisar internamente a proposta que te enviei?</t>
  </si>
  <si>
    <t>https://cdn.bitrix24.com.br/b19630473/main/5f2/5f27fd758bd10559c9face12341fe6af/1c471b63c262727eeb95c3ca2a9a1a4c.pdf</t>
  </si>
  <si>
    <t>Bom dia Adriano! Tudo bem? Quando puder falar, me avisa por favor. Abraços! - Ele respondeu que estava de férias e tinha voltado hoje. E que iria falar com o pessoal lá. E que faz todo sentido. - Eu respondi: Fala meu amigo! Muito bom dia! Se precisar podemos marcar presencialmente aí e conversamos todos juntos. Fico a sua disposição. Excelente dia pra você!</t>
  </si>
  <si>
    <t>Boa tarde Adriano! Tudo bem com você? Voltar de férias deveria ser ao poucos, né...rsrsrs Meu amigo, gostaria de saber se posso dar um pulo aí na empresa de vocês no dia 01/04 (e não é mentira...rs).</t>
  </si>
  <si>
    <t>Olá Adriano! Como estão as coisas por aí? Espero que bem! Passei aqui porque organizei um Raio-X Comercial rápido que tenho usado com algumas empresas. Ele leva menos de 10 minutos e dá uma visão bem clara de como está a operação hoje — principalmente em previsibilidade, gestão de carteira e execução do time. Achei que poderia te ajudar a olhar isso com mais clareza também. Segue o link:</t>
  </si>
  <si>
    <t>PEC</t>
  </si>
  <si>
    <t>Adriano</t>
  </si>
  <si>
    <t>Passadori</t>
  </si>
  <si>
    <t>Viviane Moreira</t>
  </si>
  <si>
    <t>Saúde</t>
  </si>
  <si>
    <t>Amparo</t>
  </si>
  <si>
    <t>Varejo</t>
  </si>
  <si>
    <t>Trilha de desenvolvimento 2026 - 8 turmas de 12h e 6 turmas de 8h</t>
  </si>
  <si>
    <t>SICREDI DAS CULTURAS RS/MG</t>
  </si>
  <si>
    <t>thalia_fenske@sicredi.com.br</t>
  </si>
  <si>
    <t>Cooperativa de crédito, com atuação nos segmentos PF, PJ e Agro. O foco está na gestão de carteira, relacionamento com associados, recuperação de crédito e desenvolvimento comercial, com preocupação clara com sustentabilidade da carteira, NPS e tomada de decisão responsável.</t>
  </si>
  <si>
    <t>Estrutura organizada por segmentos (PF, PJ e Agro), com Gerentes de Negócios em diferentes níveis de maturidade (básico, intermediário e avançado), além de assistentes e analistas de recuperação de crédito. Atuação presencial nas regiões do RS e MG, com liderança e indicação dos participantes pelos gestores.</t>
  </si>
  <si>
    <t>Busca desenvolver tecnicamente e comportamentalmente os colaboradores por meio da Trilha do Negócio 2026, fortalecendo gestão de carteira, vendas consultivas, recuperação de crédito e tomada de decisão, com foco em resultados sustentáveis, melhor experiência do associado e evolução da performance.</t>
  </si>
  <si>
    <t>Em análise da proposta junto a diretoria e BP</t>
  </si>
  <si>
    <t>Gabrielli me retornou falando que ainda estão em análise e organização do planejamento e proposta. Pediu mais um tempo e falou que os treinamento só vão acontece no segundo semestre</t>
  </si>
  <si>
    <t>https://cdn.bitrix24.com.br/b19630473/main/f31/f313fac7b3a2a1671978de8c02b5a45e/387355431544a1ececbfd56766c6fa00.pdf</t>
  </si>
  <si>
    <t>Gestão de vendas cunsultivas</t>
  </si>
  <si>
    <t>Elevar a maturidade da gestão de carteira e da tomada de decisão consultiva, especialmente em temas de rentabilidade, risco, relacionamento sustentável e recuperação de crédito, além de padronizar abordagens comerciais e fortalecer a atuação consultiva nos diferentes níveis de senioridade.</t>
  </si>
  <si>
    <t>Sim. O projeto está vinculado à Trilha do Negócio 2026, com planejamento antecipado e necessidade de estruturação e preparação adequada dos conteúdos ao longo do ano</t>
  </si>
  <si>
    <t>Qualidade da gestão da carteira, rentabilidade, tomada de decisão, NPS, efetividade das abordagens comerciais, maturidade comercial dos GNs, organização do processo comercial e recuperação estratégica de crédito.</t>
  </si>
  <si>
    <t>Formalização e alinhamento da proposta de facilitação, com definição de escopo final, cronograma e formato de execução dos treinamentos e mentorias</t>
  </si>
  <si>
    <t>Decidiram fechar algo mais internamento com facilitadores do Sicredi. Como não tinham verba de sescoop, optaram por essa decisão</t>
  </si>
  <si>
    <t>Thalia</t>
  </si>
  <si>
    <t>Vargas Fenske</t>
  </si>
  <si>
    <t>Analista de Gestão de Pessoas</t>
  </si>
  <si>
    <t>Ijuí</t>
  </si>
  <si>
    <t>Aceleração Comercial - DMA Alumínio</t>
  </si>
  <si>
    <t>A DMA é uma importadora que atua há 15 anos no mercado de perfis e puxadores de alumínio fabricados na China com qualidade superior. Atende o setor moveleiro, especificamente lojistas (como de madeira e acabamentos) e indústrias. A empresa vive um momento de forte pressão por queda de faturamento, que baixou de uma média de R$ 3 milhões para R$ 1,2 milhão por mês no último ano. O mercado trata o produto como commodity, focando apenas no preço. Além disso, a empresa enfrenta um desafio de capital de giro, com um ciclo de reposição de produtos de 90 dias.</t>
  </si>
  <si>
    <t>equipe é composta por 16 representantes comerciais autônomos. O relacionamento e as vendas estão totalmente nas mãos dos representantes; a DMA não possui contato direto com os clientes finais. Atuam em 9 estados, com potencial para abrir outros 18. Atualmente não existe liderança dedicada, pois o gerente comercial anterior foi desligado e Marcus Carvalho assumiu a diretoria comercial temporariamente a pedido do dono.</t>
  </si>
  <si>
    <t>Recuperar o volume de vendas e retomar o controle da carteira de clientes, que hoje pertence aos representantes. Implementar processos, rotinas e rituais comerciais que hoje não existem. Estruturar um canal de Inside Sales para recuperar clientes inativos (há quase 600 clientes sem comprar há mais de um ano). Mudar o mindset dos representantes para que vendam valor e mix de produtos, não apenas preço. Auxílio na contratação e capacitação de uma nova liderança comercial.</t>
  </si>
  <si>
    <t>Estou tentando contato com Marcus desde o dia 20.02 e ainda não tive retorno.</t>
  </si>
  <si>
    <t>https://cdn.bitrix24.com.br/b19630473/disk/36a/36a2c92b45010ff0bd3bb2bded7b658d/585b45f90ed55cb0f83898c9e34353d8.pdf</t>
  </si>
  <si>
    <t>O maior patrimônio (clientes) está nas mãos de terceiros (representantes). Grande volume de clientes "hibernando" que os representantes não visitam por focarem apenas nos que trazem retorno imediato. A dificuldade em "primarizar" as vendas devido ao alto passivo trabalhista/indenizatório dos representantes antigos. O dono (Gustavo) é extremamente organizado e avesso ao risco, carecendo de visão e agressividade comercial.</t>
  </si>
  <si>
    <t>O faturamento atingiu níveis críticos (meses de R$ 400 mil), o que não cobre os custos fixos da operação. Marcus Carvalho possui outro negócio no setor de calcário e sua disponibilidade é maior fora da safra (que ocorre de maio a outubro), indicando que a estruturação precisa avançar rápido.</t>
  </si>
  <si>
    <t>Faturamento: Retomar o patamar de R$ 3 milhões/mês. Retenção e Recuperação: Ativar os 600 clientes inativos. Mix de produtos: Aumentar a venda dos 41 SKUs que hoje não possuem saída recorrente. Organização e Processos: Implementar indicadores (KPIs), rituais de sprints diários e gestão via CRM/Sankhya.</t>
  </si>
  <si>
    <t>Eryclys (VendaMais): Enviar em 40 minutos uma proposta não oficial via WhatsApp, detalhando o plano de execução, os modelos (presencial e híbrido) e a expectativa de investimento. Marcus (DMA): Alinhar a proposta com o proprietário (Gustavo) para preparar uma reunião de fechamento.</t>
  </si>
  <si>
    <t>O ultimo contato efetivo com Marcus foi no dia 19.02, após este dia fiz diversas tentativas de contato com ele mas não tive retorno e por isso estou declinando a proposta.</t>
  </si>
  <si>
    <t>Assistente de RH</t>
  </si>
  <si>
    <t>Curitiba</t>
  </si>
  <si>
    <t>Vendópolis 20 colaboradores+ Vendas consultivas perfil Hunter</t>
  </si>
  <si>
    <t>SICREDI ARAXINGU</t>
  </si>
  <si>
    <t>Tamirys Moraski Cruz</t>
  </si>
  <si>
    <t>tamirys_cruz@sicredi.com.br</t>
  </si>
  <si>
    <t>(66) 3478-1999, (66) 3478-1999</t>
  </si>
  <si>
    <t>O Sicredi Araxingu atua no segmento de meios de pagamento, com foco em expansão de base, ganho de mercado e aumento de participação comercial. O momento atual é de crescimento, com reestruturação da área comercial, novas contratações e necessidade clara de elevar a performance e a conversão do time Hunter, especialmente em atuação de campo.</t>
  </si>
  <si>
    <t>Estrutura comercial liderada por Karina, com um time de 16 agentes comerciais externos, além do time da sede. O perfil predominante é Hunter, com atuação majoritariamente remota e modelo de atendimento por agência.</t>
  </si>
  <si>
    <t>O Sicredi Araxingu busca estruturação e alinhamento do modelo de atuação Hunter, evolução técnica em prospecção ativa, condução de visitas e conversão, além de maior consistência nos resultados e melhor gestão da performance comercial.</t>
  </si>
  <si>
    <t>Os gestores aprovaram, estão aguardando volta de férias da BP para aprovação</t>
  </si>
  <si>
    <t>https://cdn.bitrix24.com.br/b19630473/main/02e/02e164e1b6d560a1c596ae690930c317/af80d3fbea98de4e2b4afbbf5ed4ed27.pdf</t>
  </si>
  <si>
    <t>1 lider direta</t>
  </si>
  <si>
    <t>Vendópolis + Workshop de 12h</t>
  </si>
  <si>
    <t>Desenvolver a performance comercial do time Hunter, com foco em padronização de abordagem, aumento da qualidade das visitas PAP e melhoria da conversão de visitas em oportunidades e vendas.</t>
  </si>
  <si>
    <t>Os resultados são avaliados no fechamento trimestral, gerando necessidade de evolução rápida da performance e maior previsibilidade de entrega no curto prazo.</t>
  </si>
  <si>
    <t>Conversão por visita e quantidade de visitas por dia</t>
  </si>
  <si>
    <t>Vão analisar e nos dar o retorno para fazer no primeiro semestre.</t>
  </si>
  <si>
    <t>Mudaram a prioridade e só vão fazer o treinamento no segundo semestre ou em 2027</t>
  </si>
  <si>
    <t>Canarana</t>
  </si>
  <si>
    <t>Sem retorno</t>
  </si>
  <si>
    <t>Almeida</t>
  </si>
  <si>
    <t>Reunião de Vendas - MAG Seguros</t>
  </si>
  <si>
    <t>MAG Seguros</t>
  </si>
  <si>
    <t>erbarbosa@mag.com.br</t>
  </si>
  <si>
    <t>Empresa com quase de 200 anos de existência, atua no ramo de seguros, previdência e financeiro</t>
  </si>
  <si>
    <t>Possuem agentes e corretores, ambos vendem os mesmos produtos, porém os agentes são CLT e os corretores profissionais autônomos - Para essa solução, serão cerca de 12 pessoas, participantes do programa Arrebenta, o qual premia os 6 melhores agentes e 6 melhores corretores do ano anterior</t>
  </si>
  <si>
    <t>Pois eles farão uma reunião de vendas na MAG Seguros em São Paulo para premiar os 6 melhores agentes e 6 melhores corretores do ano anterior</t>
  </si>
  <si>
    <t>Eric comentou que gostaram muito da VendaMais e querem fechar conosco, porém, precisaríamos negociar valores, conversei com a Karen a qual autorizou conceder 20% de desconto em cima do valor total, para fecharem as duas soluções</t>
  </si>
  <si>
    <t>90% fechado, devo ter a resposta hoje, já bati as datas com a Elizete ontem (João)</t>
  </si>
  <si>
    <t>https://cdn.bitrix24.com.br/b19630473/main/de9/de92bc74bb3e2a45a81104ed2ac46d06/f540268a71ff2b319b4d75baf3bee3ef.pdf</t>
  </si>
  <si>
    <t>https://docs.google.com/document/d/1zSmb7zdhjf0OJ_SOnCjpnFWeUU5B2Bg9655ZBIykyU4/edit?usp=sharing</t>
  </si>
  <si>
    <t>Power seguros + Jogo da Negociação</t>
  </si>
  <si>
    <t>Manter a alta performance dos premiados, fomentar o engajamento, motivação e aprendizado</t>
  </si>
  <si>
    <t>Sim, o evento será em Abril, precisam decidir com certa velocidade</t>
  </si>
  <si>
    <t>Envio da proposta - prazo de retorno da MAG é dia 10/02</t>
  </si>
  <si>
    <t>João falou que eles ainda estão analisando mas sem data para retorno. Vou dar baixa aqui no Bitrix, e manter contato como prospecção.</t>
  </si>
  <si>
    <t>Éric</t>
  </si>
  <si>
    <t>Analista de Educação Corporativa</t>
  </si>
  <si>
    <t>Seguradora</t>
  </si>
  <si>
    <t>RJ</t>
  </si>
  <si>
    <t>Power I.A Liderança</t>
  </si>
  <si>
    <t>AMAFIL IND. E COM. DE ALIMENTOS</t>
  </si>
  <si>
    <t>vilson@amafil.com.br</t>
  </si>
  <si>
    <t>A Amafil atua na indústria de alimentos, com forte presença em produtos ligados ao consumo básico (ex.: farofa, itens para churrasco), vendendo principalmente para o varejo por meio de uma rede extensa de representantes comerciais. O contexto atual é de mercado altamente pressionado, com queda no poder de compra das classes C e D (principal público consumidor), aumento da concorrência, guerra de preços e redução do volume de consumo. A empresa tem produto reconhecido e preço acima da média, o que exige maior esforço comercial, presença no ponto de venda e argumentação de valor. O foco deixou de ser apenas “tirar pedido” e passou a ser fazer o produto girar até o consumidor final.</t>
  </si>
  <si>
    <t>Aproximadamente 96 representantes diretos (cerca de 120 no total considerando indiretos) 8 supervisores, equipe interna Modelo de vendas majoritariamente externo, via representantes Supervisão e gestão comercial feitas internamente Uso de TOTVS (ERP) e BI da TOTVS, com forte dependência de relatórios manuais e planilhas Não há hoje uso estruturado de IA aplicada à área comercial</t>
  </si>
  <si>
    <t>A Amafil procurou a VendaMais para: Entender e introduzir o uso de Inteligência Artificial no contexto comercial Capacitar inicialmente a equipe interna (supervisores e liderança) Tornar os processos comerciais mais rápidos, eficientes e escaláveis Reduzir dependência de trabalho manual e aumentar produtividade Preparar a empresa para o futuro, evitando ficar para trás tecnologicamente O objetivo não é inicialmente treinar vendedores, mas sim estruturar a base interna antes de avançar para o front de vendas.</t>
  </si>
  <si>
    <t>Em análise da equipe de RH e financeiro;</t>
  </si>
  <si>
    <t>https://cdn.bitrix24.com.br/b19630473/main/d2e/d2eb3ccf95f97616fc47dfc89284ee3e/c41a0fae70e34f5741ee24eba566f54d.pdf</t>
  </si>
  <si>
    <t>Alinhamento de Necessidade VendaMais e Amafil - Transcrição 00:00:00 Vilson da Silva Machado: Propema e ele vai pegar fog. Só encerrar uma ligação aqui, tá, Rafael? Rafael Bortoloso: Tranquilo. Vilson da Silva Machado: Eu tô na estrada respondi o senhor, tá? Rafael Bortoloso: Ah. Vilson da Silva Machado: Ô, Rafael, Rafael Bortoloso: Olá, Vilson da Silva Machado: e aí? Rafael Bortoloso: tudo bemvos? Vilson da Silva Machado: Tudo tudo na paz? Rafael Bortoloso: Tudo na paz, Vilson da Silva Machado: Você? Rafael Bortoloso: graças a Deus. Prazer em conhecer você. Você já teve um contato antes com a gente, Vilson da Silva Machado: Opa, Rafael Bortoloso: com a com a Milam lá atrás, né? Comenó. Vilson da Silva Machado: já a gente já fez um evento já aqui. Rafael Bortoloso: Tá Vilson da Silva Machado: A gente teve uma convenção 2024 e aí Rafael Bortoloso: sim. Vilson da Silva Machado: a gente a gente contratou aquele esqueci o nome. Rafael Bortoloso: Vendócoles, né? Vilson da Silva Machado: Isso. Isso aí é exato. Rafael Bortoloso: Vendóculos. Vilson da Silva Machado: Uhum. Rafael Bortoloso: E aí, gostaram? Foi bom? 00:02:59 Vilson da Silva Machado: Foi bom, foi bacana, cara. O pessoal gostou bastante. Rafael Bortoloso: Que bom, que bom. Vocês já estão com quê? Os 120 representantes ou Vilson da Silva Machado: Eh, mais ou menos direto, Rafael Bortoloso: views Vilson da Silva Machado: indireto. Mais ou menos isso é representação direta mesmo, acho que uns 96, mais ou menos. Rafael Bortoloso: 96. E quantos supervisores estão estão com vocês Vilson da Silva Machado: Tem eh hoje aqui eu tô Rafael Bortoloso: hoje? Vilson da Silva Machado: com eh oito, mais ou menos. É tudo Rafael Bortoloso: Entendi. Vilson da Silva Machado: interno. Rafael Bortoloso: E aí, como é que tá o mercado? Como é que você tá? Viu o avanço aí? Diferença do ano passado? Foi desafiador para vocês? Vilson da Silva Machado: Foi vencido, Rafael Bortoloso: Explica um pouquinho aí como é que tá. Vilson da Silva Machado: né, na verdade, né? Eh, esse tema eu acho que tá presente em todas as conversas, né, que se diz respeito a ao mercado, né, porque economia extremamente apertada, né, o povo sem dinheiro, então as indústrias e o e o comércio em geral estão tendo que eh eh se desdobrar, né, para fazer o negócio se manter, né, e quem sabe crescer, né, que não tá fácil, né? 00:04:09 Vilson da Silva Machado: Então, a concorrência tá, a concorrência tá muito grande, né? Ontem eu lia uma matéria, eu recebi uma matéria, teve aquela, aquele evento lá em foi Estados Unidos, né? RF, acho que é o maior evento de varejo do mundo, né? RF alguma coisa. E aí eu tava lendo a reportagem, até até postei ontem aqui no nosso grupo de representantes o que o CEO lá do açaí falava a respeito disso, né? Que eh o dinheiro saiu da mão do pobre. Rafael Bortoloso: M. Vilson da Silva Machado: E eu já tenho falado isso para meus nossos representantes já tem algum tempo, que eh a classe que mais come é a classe C, classe D, né? A que mais consome, né? Rafael Bortoloso: Угу. Vilson da Silva Machado: Ou seja, é o trabalhador ali do pesado, né? E é justamente essa classe que o o poder aquisitivo um a pela própria economia, né? O poder aquisitivo, produto subindo, custo subindo e o salário, né? não subindo na mesma proporção. Então, só isso por si só é um um um motivo de estagnação de consumo, né? 00:05:08 Vilson da Silva Machado: Eh eh e aí entra depois começa a entrar outras variáveis, né? Aí entrou esse negócio dos jogos, das bets, ainda tava na reportagem que o Brasil tá gastando 30 bi por mês com aposto. Então esse dinheiro saiu da economia, Rafael Bortoloso: Caraca, Vilson da Silva Machado: né, cara? Saiu da economia. Rafael Bortoloso: exatamente. Vilson da Silva Machado: Então, eh, nós somos de uma área que a gente sempre menciona aqui, eh nós, você, eu acho que a grande maioria, acho da classe B para baixo, eh nós não fazemos mais a mesma quantidade de churrasco que a gente fazia 4, c anos até Rafael Bortoloso: Tá, eu falei, eu falei que eu eu fui ser classe média muito tarde, Vilson da Silva Machado: então. Rafael Bortoloso: cara. Eu queria ter ser classe média uns 15 anos atrás, falei: "Caramba, tô no emprego no qual, né? a gente tem a oportunidade, né, da ser um grupo excelente para trabalhar, então a gente consegue ter um salário decente. Eu falei: "Pô, entrei na classe média, tá tarde demais, agora não sou mais classe média, agora sou pobre de novo, 00:05:57 Vilson da Silva Machado: Ah, Rafael Bortoloso: sou pobre novo". Bera porque é o falou que antigamente era algo que nossa meu Deus do céu, Vilson da Silva Machado: é exato. Rafael Bortoloso: né? Bom, uma pessoa tá bem de vida, Vilson da Silva Machado: Vivia bem. Rafael Bortoloso: fazia os quatro churrascos por mês, né? Vils hoje em dia já não tem mais isso, Vilson da Silva Machado: É isso aí. Rafael Bortoloso: né? Hoje em dia a gente cortou, né? Corta exatamente nisso que você falou. Corta num churrasco, né? Cortem algumas oportunidades de unir a família. Vilson da Silva Machado: Na minha farofa, pô. Na minha farofa. Rafael Bortoloso: Farofa, Vilson da Silva Machado: Como é que eu tá? Rafael Bortoloso: cara. Pô, e todo churrasque precisa de farofa, né? Isso aí é nacionalmente, Vilson da Silva Machado: Então é, Rafael Bortoloso: né? Ou até internacionalmente tem jeito, né, Vilson da Silva Machado: então eh eh isso é um reflexo, Rafael Bortoloso: cara? Vilson da Silva Machado: né, cara? E e e e assim, e a gente vai conversando, eh, nem você falou, a própria realidade da gente, eh, você vai conversando, você vê que a o hábito de consumo, ele vem mudando, né, as pessoas dando ênfase a preço, 00:06:46 Vilson da Silva Machado: a avaliando outras marcas, Rafael Bortoloso: Угу. Vilson da Silva Machado: por exemplo, ah, eh, falou, ah, por mais que você é classe média, você começa a reavaliar algumas opções dentro daquela daquela da tua faixa ali de aceitação, né? né, de qualidade, tal, tal, tal, mas você começa a rever, você começa a, eu tava vendo outro dia que eu preciso comprar pneu pro meu carro, eu tô eu uso pneu enchelão, que é o melhor pneu, mas eu tô vendo outras outras possibilidades, fazendo conta, Rafael Bortoloso: Exato. Vilson da Silva Machado: se se é viável. Então assim, apertou, no final das contas, apertou o bolso do consumidor e aí junta-se eh eh uma n fatores. Então, a gente fala isso muito pra nossa equipe de representante. Eu falo assim, hoje a gente tem que acordar mais cedo, andar mais, trabalhar mais, suar mais para tentar fazer o mesmo que a gente fazia há há alguns dias atrás. Hoje você tem que ser muito mais eficiente. Eu até falava isso com o representante assim, ó. Hoje nós nós nós temos uma empresa reconhecida, nós temos um produto de qualidade com com posicionamento de preço normalmente superior a grande parte dos nossos concorrentes e e isso gera um grau de dificuldade muito grande nessa atual situação econômica, né, onde que o consumidor tem valorizado muito o preço pela sua necessidade, né, eh, de de de recomposição, né? 00:08:08 Vilson da Silva Machado: E aí eu falo isso pros representantes, falou: "Olha, eh, nós não podemos mais trabalhar o vento hoje ou mesmo o distribuidor, como a gente trabalhava há 10 anos atrás, que a gente tirava o pedido, virava as costas e o cliente fazia parte dele de vender o produto. Hoje, enquanto mercadoria não tiver dentro da sacolinha do consumidor, nunca vou o papel da indústria. Rafael Bortoloso: É Vilson da Silva Machado: Por quê? Quem tem preço dentro da categoria é o melhor preço, Rafael Bortoloso: verdade. Vilson da Silva Machado: o produto vai se vender pelo preço. Agora, se eu não tenho preço, eu tenho que estar lá no ponto de venda, mostrando para você, Rafael, porque que você deve comprar o meu e não o outro. Então, hoje tem sido muito mais trabalhoso, Rafael Bortoloso: Vai Vilson da Silva Machado: requer muito mais investimento para você conseguir reter o o o consumidor na sua marca, Rafael Bortoloso: trabalhando. Vilson da Silva Machado: né? Eh, diante do aumento de de concorrência, né? Porque é menos consumidor comprando, a mesma quantidade de empresa oferecendo. Então, aumentou muito a concorrência por esse consumidor que sobrou, né? 00:09:01 Vilson da Silva Machado: Antes eu tinha três para vender, agora o Rafael não consegue mais fazer churrasco, sobrou lá um só. contar quantas empresas brigando por aquele cliente, né? Então, eh, não tem sido fácil, não. Eh, eh, o mercado tá tá tá nervoso. Ou seja, ou você pula cedo, arregaça as mangas, que a gente fala pro nosso representante, tira a bunda da cadeira, meu fim. Eh, vocês que estavam aí na, vamos dizer assim, conformados e já comos ou vocês vão pr pra rua, arregaça as mangas e vai para dentro de loja e faz a venda acontecer ou senão vai ser mais um na fila do desemprego. Rafael Bortoloso: Eh, eu tô Tô falando que tá tão difícil que até vendedor de Coca-Cola tá precisando vender, né? Então é, Vilson da Silva Machado: Isso aí. Rafael Bortoloso: tá complexo, né? Boa tarde, tudo bem? Gidelson, perdão, GEDIELSON: Bo tarde, Rafael. Tudo bem você? Rafael Bortoloso: tudo ótimo. Tava conversando com o Vilson aí sobre a dificuldade no mercado, mas diante disso tudo, né, Vilson, tem uma coisa que é muito boa, a gente tem que sair da zona de conforto, 00:10:03 Vilson da Silva Machado: Sim. Rafael Bortoloso: né? Vilson da Silva Machado: E exato. Rafael Bortoloso: Para ter resultado, você precisa ter movimentação para isso, Vilson da Silva Machado: Eh, Rafael Bortoloso: né? Vilson da Silva Machado: eu para tudo eu eu eu tenho né filosofia de vida mesmo. Eh, para tudo a dificuldade tem alguma oportunidade. Rafael Bortoloso: Exatamente. Vilson da Silva Machado: É isso aí. Rafael Bortoloso: Penso exatamente Vilson da Silva Machado: E assim, e e eu falo isso pros representantes, para aqueles que estão dispostos, que existe um grupo de representantes, Rafael Bortoloso: isso. Vilson da Silva Machado: principalmente os mais modernos, né, que que já sabem aquilo que o mercado exige hoje e está disposto a entregar esse serviço, para esses caras são oportunidade, porque não é todo todo toda a indústria, toda a empresa que está preparado para entregar o que hoje o varejo exige, o serviço que o varejo exige. Então, existe essa oportunidade. Agora o representante, né, que ou a indústria e o representante que não tem condições, seja financeira ou capacidade para realmente fazer o que o valor exige, aí você tá tá passando por ele. Rafael Bortoloso: É verdade. Eh, e uma, pensando, né, trazendo pro tema que a gente veio conversar aqui, uma das formas da gente sair dessa zona de conforto, né, Vils o Gelson, é a gente treinar e desenvolver e capacitar, né, para que eles tenham novas ferramentas, né? 00:11:16 Rafael Bortoloso: Então, é um pouquinho do que a gente veio conversar aqui. E vi, só queria tirar uma dúvida. Tem tem dois caminhos que a gente pode trilhar em relação a esse treinamento, Vilson da Silva Machado: Sim. Aham. Rafael Bortoloso: tá? Um caminho é quero treinar a minha equipe para eles, eles mesmos conduzirem isso na própria vida ou quero treinar a minha equipe para eles serem multiplicadores disso pros meus representantes, né? Então é a questão o seguinte: teu supervisor, teu coordenador, ele já tem essa pegada de guiar, já tem isso no dia a dia e precisa melhorar, Vilson da Silva Machado: Não, Rafael Bortoloso: né? Ou temos que treinar primeiramente eles para depois eles passarem essa visão para outra? Vilson da Silva Machado: não. Sim. É, é, é isso. É exatamente essa ideia. Nós aqui internamente a gente e a gente faz um trabalho de supervisão, de análise, monitoramento dos representantes de trabalho de cada um. E a gente sempre a gente sempre discute muito a dificuldade nossa aqui interna de depuração de dados e de agilidade a mão de obra, né? Falta de mão de obra, falta de mão de obra. 00:12:18 Vilson da Silva Machado: a gente vê que nós estamos assim eh eh a nossa os nossos sistemas, tá, que a gente utiliza, acaba que eh a gente tem uma certa dificuldade para para e dificuldade versus velocidade, né, na verdade versus não, né, anda junto, né? Eh, Rafael Bortoloso: Угу. Vilson da Silva Machado: eh, então, eh, é uma realidade, já tá muito presente na vida de muita gente e nós aqui internamente ainda não aplicamos nada. Então assim, Rafael Bortoloso: Угу. Vilson da Silva Machado: diante de uma dificuldade que é arrumar gente eh eh para fazer esse processo. E nós temos, por outro lado, uma ferramenta que vem vindo e agregando muito. Até a um acho que um algum tempo atrás eu tava vendo um vídeo do do Raul eh junto com uma outra pessoa especializada, uma outra empresa que tem uma parceria com vocês aí em relação justamente a falando sobre sobre inteligente artificial, sobre montar os promptes lá, aquele tipo de coisa, né? Rafael Bortoloso: Sim. Vilson da Silva Machado: Depois isso, esse negócio de inteligência artificial tá aqui na minha cabeça, mas nós aqui internamente dentro da nós não aplicamos ainda em praticamente nada, tá? Então a ideia é justamente uso alguma coisa, tenho usado, tá? 00:13:37 Vilson da Silva Machado: eh para algumas coisas eh minhas. Eh, mas a ideia é justamente começar a entender um pouco mais e no caso a venda mais até porque vocês são especialistas da área de vendas, então vocês sabem muito das dores que a gente tem, né, da necessidade da gestão de venda. Então, eh, é justamente eu acho que o pensamento seria fazer um treinamento com a minha equipe aqui de supervisores para começar a entender, eh, aprender, lidar com mexer com a IA e o que que a IA poderia agregar dentro do setor de vendas e consequentemente em tarefas operacionais que hoje nós fazemos, que porventura a gente consiga a passar a usar eh a inteligência artificial para para fazer com que o nosso serviço, quem sabe vai passar seja mais mais como é que eu posso dizer? Eficiente, mais rápido, Rafael Bortoloso: Sim, Vilson da Silva Machado: né? Que a gente consiga produzir mais, né? Rafael Bortoloso: sim. Vilson da Silva Machado: Utilizando então a ideia é isso, na verdade é trazer para dentro do comercial da Mafio aí, vamos dizer assim, partir do princípio que nós aqui, eu tenho um pouco de conhecimento, mas é conhecimento bem básico mesmo, eh, e é começado a estaca zero pra gente trazer esse conceito que tá dentro e depois a gente eh avançando dentro dessa ideia. 00:14:52 Rafael Bortoloso: Tá ótimo. Eh, Vilson da Silva Machado: Agora não ti você você vai repassar para Rafael Bortoloso: essa esse programa que você levantou a mão ali pro, né, que você conversou até com com o nosso diretor Fabiano, Vilson da Silva Machado: mercadoria da tribo e você sabe o preço Rafael Bortoloso: eh, ele é um programa que ele é muito baseado nos processos da venda, Vilson da Silva Machado: que Uhum. Rafael Bortoloso: então é vendas com IA. Então, exemplo, ah, como é que eu me planejo? Vilson da Silva Machado: Você quer que eu digite esse pedido aqui para usar R$ 50 a 21 Rafael Bortoloso: como é que eu ganho tempo, faço minha gestão de tempo e como é que eu ferramentas para que isso aconteça. Vilson da Silva Machado: dias o trá de pagamento. Rafael Bortoloso: Da mesma forma, como é que eu prospecto, Vilson da Silva Machado: Beleza. Eu vou fazer aqui. Rafael Bortoloso: como é que eu abordo, Vilson da Silva Machado: Deixa que eu faço para agilizar então que você tava dirigindo aí. Rafael Bortoloso: como é que eu faço levantamento de necessidade, né? Vilson da Silva Machado: Precisar retornar. Rafael Bortoloso: Então isso veio até de um treinamento do próprio Raul, 00:15:21 Vilson da Silva Machado: Beleza, Rafael Bortoloso: que é venda mais com o chat EPT, Vilson da Silva Machado: valeu. Rafael Bortoloso: que ele fez um treinamento para para líderes, Vilson da Silva Machado: Um abraço. Rafael Bortoloso: enfim, eu até participei e ele faz todo esse processo, todo esse caminho, né, de como usar IA em todos os processos da venda. Tá bom? Pelo que você tá me falando, eu não sei se esse seria o caso, Vilson da Silva Machado: Não. Rafael Bortoloso: né? Eu acho que o teu caso ali é mais uma implementação de A dentro de processo, talvez para leitura de dados, talvez para para análise de carteira, né? Então eu queria saber de você se realmente é isso mesmo, se a o nível que vocês estão pretendendo usar é um nível mais operacional ou faz sentido a gente estar dentro dos passos da venda, trabalhando cada passo ali com a equipe de vocês? Vilson da Silva Machado: os os dois faz sentido, Rafael Bortoloso: É claro, mais e outros não. Vilson da Silva Machado: tá? os os dois faz sentido, né? Rafael Bortoloso: Aham. Vilson da Silva Machado: Eh, eh é entender exatamente o que que o que que existe de de ferramentas. Primeiro é conhecer as possibilidades, né? 00:16:19 Vilson da Silva Machado: Ou seja, o treinamento básico de que é a IAP, porque tem uns colegas aqui que nunca usaram, não sabem o que como usar e para que que serve, né? Tá, tá escutando ya, iá, né? eh, na mídia, Rafael Bortoloso: He. Vilson da Silva Machado: mas na prática como usar muitos talvez ainda nem nem aplicar, mas eh entender eh um pouco sobre o conceito. E claro que dentro do nosso processo, nós temos aí o GG aí fazendo eh muitos dos trabalhos. Eh, eu sempre falei isso para assim, nós precisamos eh eh cobrar mais a equipe e e a gente sempre fala isso. Eu já andei buscando, eu trabalho com o sistema TOS, tá? É o nosso nossa nosso RP TTOS. Eu trabalho com BI também da TOTOS, mas a gente sempre vê assim uma limitação bastante grande de informações assim prontas, vamos dizer assim, né? Eh, depende muito ter que ficar, faz isso, faz aquilo, monta esse relatório. Então, assim, é muito complexo. Então, a gente vê assim uma uma falta de de um próprio sistema que fizesse Rafael Bortoloso: Угуm. Vilson da Silva Machado: muito aquilo que o comercial precisa. 00:17:23 Vilson da Silva Machado: já me digamos a direção e aí a gente acaba ficando perdendo muito tempo, planilha aqui, planilha lá, tira um relatório, junto com outro, eu falo assim, isso é muito, tá muito moroso, isso tá muito demorado, aí a gente não consegue eh ter a dinâmica necessária para cobrar cent e poucos vendedores, né? Rafael Bortoloso: Угу. Vilson da Silva Machado: Então, a gente fala muito sobre isso, sobre eh a melhoria dos processos, principalmente no no quesito de cobrança da equipe para fazer com que essa cobrança seja al Hoje a minha cobrança depende muito da minha da atitude da equipe de pegar o telefone, ó, Rafael, por que você não tá vendendo tal linha de produto? Ó, por que que você deixou de de atender tantos clientes? Então, depende muito desta operação ainda manual. E é isso que a gente tem que pensar, quais são, quais desses processos que está dentro da área de vendas de qualquer empresa, que é cobrar venda, cobrar positivação, cobrar positivação de produto, cobrar positivação de clientes, etc, etc, que a gente conseguiria eh eh de alguma maneira automatizar isso para que já deve ter que ficar gerando relatório e disparando pelo por e-mail ou por WhatsApp, que eu não consiga hoje, né, com toda essa tecnologia automatizar isso e fazer com que isso Isso seja algo sistêmico, né, automático. 00:18:39 Rafael Bortoloso: Perfeito. Vilson da Silva Machado: É isso que eu que eu penso, porque a cada dia que par eu não consigo aqui hoje em dia, se a gente fosse fazer tudo que a gente precisa, teria ter aqui uma equipe talvez de 10 pessoas fazendo isso. Então para que que eu preciso disso hoje com toda a tecnologia? Rafael Bortoloso: M. Vilson da Silva Machado: Então a ideia é primeiro momento, entender, conhecer, né, digamos o básico da tecnologia. E no segundo passo é que todos os processos de venda, o que que a gente conseguiria melhorar com artificial, Rafael Bortoloso: Legal. É, Vilson da Silva Machado: né? Rafael Bortoloso: perfeito. Eh, entendi perfeitamente o que você falou e novamente a gente segue para dois caminhos, tá bom? V, Vilson da Silva Machado: Sim. Rafael Bortoloso: claro, duas entregas totalmente diferentes. Uma, a gente vai vincular isso a treinamento e desenvolvimento, Vilson da Silva Machado: OK. Rafael Bortoloso: então novas ferramentas e e hábitos que a gente pode criar dentro da dentro da da IA, que vai auxiliar os supervisores, né, como Gedelson, a ter, claro, muito mais eh atividades trabalhando menos. Eu acho que acho que é o nosso foco principal, a gente fazer uma gestão do nosso tempo, 00:19:35 Vilson da Silva Machado: Isso é falta Rafael Bortoloso: no qual a gente tenha ferramentas que auxilio, no final você tenha um resultado muito melhor num dia que você eh teria menos. Então isso aí com certeza é o nosso treinamento. Vou abrir depois aqui a nossa apresentação em menta para vocês entenderem um pouquinho mais de cada pontapé, de cada passo dentro desse treinamento. E a outra parte em relação a ferramentas, introdução de ferramentas, isso aí já parte nem que se fosse um início ou uma consultoria um pouco menor, tá vi? Porque isso para eu entender melhor como eu posso te ajudar, primeiramente a gente faz um diagnóstico. Um diagnóstico aí entre 30 e 60 dias, identificando realmente qual ferramenta, o que que vocês já usam versus o que vocês pretendem usar. Então é realmente algo muito mais aprofundado pra gente trabalhar, né? Então depois a gente eh vai fazer um workshop de cocriação com vocês, mostrar o diagnóstico e posteriormente a gente vai com ações de implementação dessa ferramenta. Aí o exemplo, vamos vamos eh trabalhar com novas ferramentas de CRM, Vilson da Silva Machado: Ah. Rafael Bortoloso: o exemplo, porque provavel eu sei que a a totus ela não entrega um exemplo do que uma B ou uma RD station em relação a relatórios para você, né? 00:20:51 Rafael Bortoloso: Então, por mais que hoje os representantes comerciais não vão não vão ter esse acesso a CRM, talvez um CRM vinculado para eles todos te auxíli de alguma forma que você consegue trazer dados em tempo real sobre tudo que você tá fazendo. Então, seria, mas isso tem que ser, né, diagnosticado e através disso a gente vai tomar ações e ferramentas que pode auxiliar o seu grupo comercial. Vai para um pouquinho já muda o cenário de treinamento e desenvolvimento, Vilson da Silva Machado: M. Rafael Bortoloso: né? Não tem como a gente 100% somente treinar o teu time. São novas ferramentas que vão ser vão ter que ser integradas e essa integração a gente vai auxiliar vocês para que seja do jeito de vocês. Então são dois caminhos aqui que eu posso nessa primeira conversa aqui eu posso te trazer a ementa do que você veio procurar, né, em relação ali da nossa do nosso Power Ea, que é a nossa que é o nosso programa de de treinamento e desenvolvimento para vendedores e líderes que atuam com processo de venda. Então, como você já deve ter visto Raul falar, são os oito passos da venda, só que auxiliados por IA, né? E a consultoria a gente pode marcar eh num outro momento, né? né, com qual você ter uma agenda mais tranquila. 00:22:00 Rafael Bortoloso: Eu trago o nosso nosso diretor de consultoria, né, e ele vai com certeza destrinchar isso tudo e mostrar para você quais tipos de ferramenta que a gente tá usando no mercado, quais são os melhores potenciais, quais são os que a gente usa, né, no modelo de negócio para igual a vocês, que a gente tem expertise dentro do mercado também, enfim, trazer as novidades para ver se faz sentido ou não e a gente pode caminhar, Vilson da Silva Machado: Não é, Rafael Bortoloso: tá bom? Vilson da Silva Machado: é, é isso, é isso mesmo, pra gente não colocar os carros na frente do boi, né? Eh, como se diz aqui na na roça, né? Eh, primeiro a gente eh se familiarizar com a ferramenta e as suas possibilidades para quando a gente for falar de eh processos utilizando a ferramenta, a gente já esteja familiarizado, né? porque senão a gente vai falar de uma coisa que a gente não tem conhecimento e a gente vai perder tempo e investir em algo que não vá trazer resultado. Então eu caminho a esse mesmo. No primeiro momento, eh, eu vi lá justamente baseado nisso, que é um treinamento mesmo, né? eh para começar a a entender e viver a inteligência artificial, por mais que seja aqui ainda usando o a a o chat GPT ou deminai de forma nativa. 00:23:08 Vilson da Silva Machado: Aí depois que você começar a entender um pouco mais sobre o que isso, que é aí que vai ser importante, o que que a gente pode realmente melhorar e e aperfeiçoar os os nossos processos comerciais, aí sim, tá? Aí depois a gente passa para uma para uma segunda segunda etapa. Mas é algo que me interessa. Eu já andei pesquisando na internet, eu já tô de olho em algumas outras empresas que já começam a oferecer alguma coisa, que a gente já conversou bastante sobre isso, que eh eu eu sempre falo assim, eu eu vim da área da da informática, minha a minha formação é é é eh eh é é informática, mas isso lá em 2000 e bolinha nem existia ainda, passava pela cabeça de alguém inteligente artificial. Mas eh a gente que é da área, Rafael Bortoloso: Да. Vilson da Silva Machado: a gente a gente sabe que existe infinitas possibilidades, né, cara? e a gente precisa eh automatizar processo, melhorar processo, agilizar processo, ou seja, e as ferramentas têm que ser dinâmicas ao ponto de dar justamente para nós estamos atrás da tela a condição de ser mais eficiente, mais rápido, né, e não ficar aí ainda usando o modelo de gera um relatório aqui, gera outra planida ali, junto os dois, monta um gráfico, não sei o quê. 00:24:20 Vilson da Silva Machado: Isso no na na velocidade que hoje o mercado exige da gente não tem mais tempo para isso, Rafael Bortoloso: Exatamente, né? Vilson da Silva Machado: né? Rafael Bortoloso: Eu trago um exemplo muito muito básico para representante que o Zia que é eu tava numa convenção eh até aqui do Paraná a AJ Ja. Rorato, Vilson da Silva Machado: Sim. Rafael Bortoloso: não sei se vizinho, Vilson da Silva Machado: É vizinho nosso aqui. Rafael Bortoloso: né? Eu eu até fui lá, eu conheci aí Arara, né? Vilson da Silva Machado: Aham. Rafael Bortoloso: Cidadezinha bem pequena, mas bem gostoso, né? E pô, tem uma fábrica gigante lá, bem legal. E e o Marcelo Caetano tá contando lá a história de um representante, Vilson da Silva Machado: Yes. Rafael Bortoloso: né? exatamente com isso, né? Ele ele tem representante lá que tem 30, 40 anos junto com ele, né? Tem tem representante já tá na segunda, terceira sucessão, uma empresa muito antiga, muito tradicional, enfim. E a gente sabe que dificilmente um senhor de 70, 65 anos, 70 anos vai abrir o chat GPT ou uma IA e usar dessa forma, né? 00:25:16 Rafael Bortoloso: Mas a gente trouxe trouxe também um um detalhe para quem é novo no mercado e trouxe uma história de um de um de um cara que ele conheceu, né? A inteligência artificial. e ele começou a a a entender a carteira dele. Então ele viu lá toda a carteira dele, ele viu os clientes e pediu o chat GPT para fazer uma análise simples de quem eram os campeões de venda dele, quem ele tava vendendo, mas tava vendendo menos, né? E o terceiro, quem ele inativou nos últimos 30, 60 dias. Com isso, ele teve ali um cara, Vilson da Silva Machado: uma uma gama uma gama de formação. Rafael Bortoloso: só só botou só postou uma planilha de Excel com com o resultado das últimas vendas, tudo que ele tinha e levantou os potenciais que ele foi ação, tomando ação de cada uma. E engraçado, ele não sabia que o campeão de venda dele era era o o cliente que ele que ele imaginava. Ele pensava que era outro. Olha só, falta de também de gerenciamento também da carteira, né? E ele falou que começou a tomar ações. Os 10 primeiros clientes, ele deixou de fazer, deixou de lá oferecer preço, alguma coisa. 00:26:23 Rafael Bortoloso: Ele fez uma apresentação de cada um e mostrou como aquele produto ia modificar e como ele ia ganhar dinheiro com aquele produto, pros 10, né? Só nisso ele já ganhou aí uma um relacionamento muito forte aí, claro, dentro do modelo de negócio dele, né? E foi tirando os inativos. E uma coisa que ele viu, o problema não é o inativo, o problema é aquele cara que deixou de comprar alguma coisa contigo, entendeu? Esse é o pior problema. Você fala: "Pô, fulano tá comprando, ele tá ativo, ele compra todo mês, só que um momento ele comprou 100.000, só que agora ele tá comprando 10. Eu não vi isso Vilson da Silva Machado: Ou ele compra 100.000, Rafael Bortoloso: acontecer." Vilson da Silva Machado: Tem potencial para comprar 150 e o cara não tá Rafael Bortoloso: Exatamente. Então, só com um prompt básico, né? só com prompit básico, Vilson da Silva Machado: vendo. Rafael Bortoloso: ele já conseguiu ter uma, né, uma visualização da carteira do que que ele pode fazer ou deixar de fazer, né? Então imagina você usando prompt correto com várias oportunidades dentro de um processo de vendas, enfim, então tem tudo, né, para para realmente trazer uma nova mentalidade aí pro vendedor, né? 00:27:27 Vilson da Silva Machado: Tem uma nova dinâmica, Rafael Bortoloso: E quem não tá trabalhando tá atrasado um pouquinho. Vilson da Silva Machado: né? É, Rafael Bortoloso: Não tá atrasado não, Vilson da Silva Machado: exato. Rafael Bortoloso: mas quem tá com a mentalidade fechada em não usar, achando que vai ser substituído. Esse vai ser substituído por não Vilson da Silva Machado: Eh, exato. Hoje, hoje um representante também, Rafael Bortoloso: usar. Vilson da Silva Machado: um representante da velha guarda nossa aqui também, um representante de mais de 30 anos de casa, ele mandou para mim alguns vídeos que ele recebeu da da robotização, dos humanoides, né, que lá na China já tem humanoide fazendo atendimento, né, 100% automatizado, né, daí ele falava assim, Rafael Bortoloso: M. Vilson da Silva Machado: ele falava assim, rapaz, olha onde a gente, onde a gente está, né, e como a gente poderia imaginar que a gente tá correndo risco, né, de realmente perder os postos de trabalho? né? Eh, preocupado, né? Eu falei, é, realmente acaba sendo mal necessário, porque as indústrias hoje não tem mão de obra, o governo tá criando isso. 00:28:18 Vilson da Silva Machado: O governo tá dando, o governo tá criando oportunidade para as máquinas tomarem o custo, porque não existe gente para trabalhar. E aí, eh, eu falei assim, só que assim, depende de de cada um, né? Depende da gente se a gente vai ficar acomodado ou se a gente vai estar preparado. Quem tiver preparado vaiar os postos, né? quem não tiver realmente vai ficar em casa e vai ser substituido. Aqueles costum o trabalho comum vai ser e mais cedo ou mais tarde eh por questões de sobrevivência da indústria vai ser substituído. É isso que vai acontecer mesmo, né? Então vem de encontro isso, né? Eh, é um primeiro passo a gente entender isso. É, é. Eh, e depois por não levar isso de fato pra equipe de Vênus, como você falou, eh, existe uma, a nossa equipe também não é diferente, eu acho que grande parte das indústrias a gente tem quadro de representantes que tem todo o perfil, representantes novos, representantes, até porque a gente vem fazendo uma uma, não digo uma reciclagem, mas até um certo ponto reciclagem, mas eh é fazendo segmentação, abrindo área, dividindo área. 00:29:23 Vilson da Silva Machado: É, então tem entrado é e bastante gente e para entrar hoje já tem que ser um pessoal que tá com a cabeça Rafael Bortoloso: Exato. Vilson da Silva Machado: mais aberta e e e tem que ter gás para poder trabalhar, Rafael Bortoloso: Так. Vilson da Silva Machado: né? Só só só, como é que se diz? Só tempo de estrada já não serve mais como como eh eh predicado para pegar uma representação, Rafael Bortoloso: É, é verdade, Vilson da Silva Machado: né? Rafael Bortoloso: é verdade. Vilson da Silva Machado: Então, a gente tem a gente tem os dois tipos de perfil. Tem pessoas novas, tem pessoas interessadas e como tem pessoas também antigas que não tem mais, né, que não tem disposição para aprender, estão aí pelo histórico, mas a gente não pode pensar nessas pessoas, a gente tem que pensar no meu filho, né? Então, eh, e a gente primeiro fazer o nosso dever de casa, que é trazer a IA dentro de casa, né, começar conversar com ela literalmente e por não depois expandir isso pr pr pro fronte, né? Rafael Bortoloso: Verdade, verdade. Deixa eu compartilhar aqui com vocês aí pra gente não se estender tanto, não perder o horário de vocês, tá? 00:30:27 Rafael Bortoloso: Tão conseguindo ver minha tela? Vilson da Silva Machado: Sì. Rafael Bortoloso: Perfeito. Então vamos lá. A gente antigamente eh eh esse treinamento ele chamava eh venda mais com o chat GPT, né? Porque era óbvio que o chat GPT era a melhor eh ferada G aí Vilson da Silva Machado: Sì. Rafael Bortoloso: naquela época, né? Só que hoje com avanço de outras ferramentas e também alg</t>
  </si>
  <si>
    <t>O principal desafio é a baixa eficiência operacional da gestão comercial, causada por: Excesso de processos manuais (planilhas, relatórios, cruzamento de dados) Baixa agilidade para analisar carteira, desempenho, positivação e oportunidades Dificuldade de cobrança estruturada e sistematizada de quase 100 representantes Falta de automação para alertas, análises e priorização de ações comerciais Em resumo: perda de tempo operacional que impede o time de focar em estratégia e ação.</t>
  </si>
  <si>
    <t>Não há um evento pontual (como convenção ou fechamento de trimestre), mas existe: Pressão constante do mercado Sensação clara de que quem não se adaptar agora ficará para trás Entendimento de que esse é um movimento estratégico e urgente, ainda que feito em fases A decisão é importante agora por contexto competitivo, não por calendário.</t>
  </si>
  <si>
    <t>Quais resultados ou indicadores o cliente gostaria de melhorar? Produtividade da equipe interna Agilidade na análise de dados comerciais Gestão de carteira de representantes Cobrança de positivação, mix e desempenho Organização e previsibilidade do processo comercial Eficiência operacional (menos pessoas fazendo mais) Não foi citado foco direto em faturamento imediato, mas sim em capacidade de gestão e execução.</t>
  </si>
  <si>
    <t>VendaMais irá reformular a proposta, focando em: Liderança Supervisores Processos internos Uso básico e estratégico de IA (nível inicial) Nova reunião agendada para:</t>
  </si>
  <si>
    <t>Vilson acho que ficou muito puxado o treinamento. Mesmo podendo fazer a metade pra ele, ele não teria condições.</t>
  </si>
  <si>
    <t>Vilson</t>
  </si>
  <si>
    <t>da Silva Machado</t>
  </si>
  <si>
    <t>Cianorte</t>
  </si>
  <si>
    <t>Paula</t>
  </si>
  <si>
    <t>Aceleração Comercial - Dryeration</t>
  </si>
  <si>
    <t>controladoria@dryeration.com.br</t>
  </si>
  <si>
    <t>Secadores de grãos e assistência técnica. O ticket médio de um projeto de secador varia entre R$ 850 mil e R$ 1,5 milhão. Produtores do agronegócio, com foco nas regiões Sul, Sudeste, Mato Grosso e Paraguai. Reorganização profunda sob pressão extrema de sobrevivência. O faturamento está estagnado, o EBITDA é de apenas 1% e a empresa está há seis meses sem vendas consideráveis.</t>
  </si>
  <si>
    <t>ossui um Gerente Comercial (PJ), que era ex-vendedor, e seis representantes comerciais externos. Foco em representação comercial. Tentaram tráfego pago no Facebook, mas sem sucesso para o tipo de produto. Existe uma liderança "paralela" onde o Diretor de Operações tenta abrir frentes no Mato Grosso sem o conhecimento oficial do Gerente Comercial.</t>
  </si>
  <si>
    <t>Fernando (Controller) buscou a VendaMais via Google para tentar salvar a empresa da falência iminente. Profissionalizar a gestão comercial, reativar a base de clientes e criar tração de vendas. O foco é o modelo de BPO Comercial, onde a VendaMais assumiria a cogestão para trazer resultados imediatos e afastar a interferência dos sócios no processo.</t>
  </si>
  <si>
    <t>https://cdn.bitrix24.com.br/b19630473/main/dcd/dcdc852198551ece2478b6edbb389219/74fff14b8f3f20e0ccb8a4b288923234.pdf</t>
  </si>
  <si>
    <t>3 de fev. de 2026 Reunião Fernando e VendaMais - DryEration Convidados Eryclys Freire controladoria@dryeration.com.br Félix - VendaMais Anexos Reunião Fernando e VendaMais - DryEration Registros da reunião Transcrição Resumo Introdução e apresentação Venda Mais A Venda Mais, especializada em consultoria e treinamento comercial, apresentou sua estrutura e ecossistema focado em resolver problemas comerciais na América Latina, introduzindo um especialista para a discussão com a Dry. Dry detalha desafios comerciais e financeiros A Dry enfrenta sérias dificuldades financeiras e operacionais, com faturamento estagnado, EBITDA baixo, alto passivo circulante e uma estrutura comercial debilitada, com falta de gestão dos representantes e um longo ciclo sem vendas. Proposta de BPO Comercial discutida A Venda Mais propôs o BPO Comercial (Business Process Outsourcing) como solução, que exige cogestão da operação e liberdade para atuar, estimando um custo inicial de PJ entre R$ 16.000 e R$ 20.000, além da participação nos resultados gerados. Detalhes ● Introdução e Contexto da Venda Mais Eryclys Freire, Gerente de Parcerias Estratégicas da Venda Mais, iniciou a reunião com Fernando Laurino da Dry, apresentando a empresa (00:00:00) (00:01:55). Ele mencionou que a Venda Mais, especialista em consultoria e treinamento comercial, existe há mais de 30 anos e foi fundada por Raul Candelouro, responsável pela revista Venda Mais (00:00:53). Eryclys Freire destacou que a atuação da empresa se estende por toda a América Latina e que o propósito deles é resolver problemas comerciais, que, conforme ele notou nos e-mails de Fernando Laurino, não são incomuns (00:01:55). ● Apresentação de Especialista e Estrutura da Venda Mais Eryclys Freire apresentou Félix - VendaMais, um executivo e especialista em agronegócio, para se conectar com Fernando Laurino (00:00:00). Eryclys Freire explicou a Fernando Laurino que eles, como Venda Mais, são um ecossistema focado em consultoria comercial, diagnóstico e treinamento (00:00:53). Eryclys Freire esclareceu que a conversa inicial seria centralizada nele, e, em caso de fechamento de negócio, ele apresentaria o time de consultores que daria sequência ao projeto (00:01:55). ● Desafios e Situação Financeira da Dry Fernando Laurino detalhou sua atuação na Dry por um ano e quatro meses, inicialmente focando em controladoria para resolver questões de despesas e contabilidade, incluindo o fechamento de balanço e a obtenção de números confiáveis de margens de produto (00:03:14). No entanto, a parte de vendas e atração de clientes está "muito difícil," levando a empresa a sérias dificuldades. Fernando Laurino informou que a empresa está há seis meses sem vendas consideráveis, vivendo com adiantamento de caixa, e ele tem se envolvido na área comercial para buscar soluções (00:04:08). ● Estrutura de Liderança e Societária da Dry A Dry é uma empresa familiar, gerida por um casal que está ativamente na operação (00:04:08). A estrutura estratégica é composta pelos dois sócios e por Fernando Laurino, que responde diretamente a eles. Fernando Laurino também mencionou um gerente de fábrica, que atua mais na parte tática (00:05:14). Em relação à sociedade, a esposa do sócio, que está mais aberta a mudanças, lidera a parte de marketing, com o suporte de uma pessoa e uma empresa terceirizada (00:09:03). ● Resultados Financeiros e Captação de Recursos O faturamento anual da Dry varia entre 35 a 60 milhões de reais, mas o EBITDA fechado de 2025 não passa de 1%, devido aos altos custos. A empresa está adiantando recebíveis para cobrir os custos operacionais mensais. O ticket médio de vendas, que envolve a venda de secadores de grãos e assistência técnica, é de aproximadamente R$ 800.000, e o valor de um projeto de secador pode variar de R$ 850 mil a R$ 1,5 milhão (00:06:15). ● Estrutura Comercial e Desafios de Vendas A estrutura comercial tática da Dry é composta por um gerente comercial (PJ), que antes era vendedor, e seis representantes comerciais (00:07:16). Um segundo gerente comercial foi demitido na virada do ano. Os representantes comerciais estão concentrados nas regiões Sul, Sudeste e Mato Grosso, além de um no Paraguai (00:08:13). Fernando Laurino revelou que existe uma situação de "improviso" na operação, com um diretor de operações tentando, em paralelo, abrir representações no Brasil, atuando como um gerente comercial não oficial (00:10:54). ● Falta de Gestão e Desmotivação da Equipe Comercial A gestão dos representantes comerciais é "debilitada" (00:11:51). Fernando Laurino afirmou que, em um ano e quatro meses, apenas três dos seis representantes receberam comissão. Ele acredita que os outros três, que não aparecem nem recebem comissão há um ano ou mais, provavelmente estão trabalhando para a concorrência (00:13:01). Ele também destacou a falta de controle sobre os clientes e a ausência de retorno dos representantes ao gerente (00:15:04). ● Problemas com Mix de Produtos e Ciclo de Vendas A Dry tem 12 SKUs, mas apenas quatro produtos vendem de fato (00:15:04). O ciclo de vendas tem piorado; antigamente, a empresa vendia dois secadores por mês, mas agora está há seis meses sem vender nada (00:15:59). Fernando Laurino estima que a Dry só tem capacidade de se manter por mais seis meses se a situação atual não mudar (00:16:55). ● Situação de Endividamento e Passivos da Dry Fernando Laurino informou que a empresa não está endividada com bancos, mas o alto passivo circulante, principalmente relacionado ao governo (declarações como FGTS, INSS, PIS/COFINS, ICMS), chega a 40 milhões de reais (00:28:41). A Dry está em regime de lucro real, e as compras de matéria-prima, como chapas, precisam ser feitas à vista devido à falta de crédito, o que está descapitalizando a empresa (00:29:39) (00:32:45). ● Proposta de Solução: BPO Comercial Eryclys Freire propôs que a solução para a Dry não seria a consultoria padrão, mas sim o BPO (Business Process Outsourcing) Comercial, colocando um profissional da Venda Mais para fazer a cogestão da operação e trazer resultados (00:17:51). Ele citou casos de sucesso em que a Venda Mais reverteu cenários de empresas em recuperação judicial com o BPO em cerca de seis meses (00:19:00). Eryclys Freire destacou que o sucesso do BPO depende de "liberdade" para atuar, o que significa eliminar ruídos e interferências dos sócios no processo comercial (00:23:28). ● Orçamento e Expectativa de Custos Eryclys Freire pediu a Fernando Laurino uma expectativa de orçamento para a proposta de BPO, visando evitar uma proposta fora da realidade financeira da Dry (00:20:06). Fernando Laurino estimou um orçamento de PJ para um gerente de mercado entre R$ 16.000 a R$ 20.000, valor que ele acredita ser possível pagar devido aos cortes de despesas feitos no ano anterior (00:27:46). ● Condições do BPO e Necessidade de Mudança Cultural Eryclys Freire detalhou que o BPO envolveria um valor fixo, mais a participação no resultado gerado acima de uma régua de faturamento. Ele enfatizou que o projeto do BPO é mais longo, podendo chegar a 48 meses (00:24:36). Fernando Laurino concordou que uma das sócias está aberta a mudanças, mas o outro sócio, com a "mente bem cauterizada," ainda espera por um "milagre". Eryclys Freire alertou que trazer um gerente de mercado sem dar poder resultaria em "massacre" devido à cultura atual, e que a sorte surge da junção de preparação e oportunidade (00:21:20). ● Próximos Passos e Envolvimento dos Sócios Eryclys Freire agendou uma apresentação de proposta para a próxima quinta-feira, às 14h, e enfatizou a importância de Fernando Laurino trazer a sócia para a reunião (00:30:35) (00:36:27). Ele explicou que ela é a sócia que está promovendo as mudanças, e é crucial convencê-la, pois ela representa metade do voto, especialmente dado o histórico de dificuldades do outro sócio em aceitar mudanças (00:31:46) (00:37:39). Eryclys Freire mencionou que a empresa não tem sucessão familiar, o que coloca a responsabilidade da virada em Fernando Laurino (00:39:25). Próximas etapas sugeridas Eryclys Freire irá verificar a viabilidade com o sócio Leandro e formular uma proposta de BPO comercial, ou consultoria full 100% presencial, para a Dry. Fernando Laurino deverá agendar e garantir a presença da sócia na reunião de apresentação da proposta na quinta-feira às 14 horas, ou avisar caso seja necessário mudar o horário. Fernando Laurino deverá mostrar o vídeo do depoimento da dona Rosalina no Instagram da Venda Mais para a sócia antes da próxima reunião.</t>
  </si>
  <si>
    <t>Não há controle sobre os representantes; eles não dão retorno ao gerente, negociam direto com o dono e muitas vezes trabalham para a concorrência. A empresa passou de dois secadores por mês para zero vendas nos últimos seis meses. O sócio fundador tem resistência a mudanças ("mente cauterizada") e espera por um "milagre", enquanto as decisões comerciais são tomadas por improviso.</t>
  </si>
  <si>
    <t>A empresa tem fôlego financeiro para apenas mais seis meses de vida. Estão vivendo de adiantamento de recebíveis e o mês de fevereiro é considerado "intenso" e decisivo para o caixa. Dívida fiscal de R$ 40 milhões que impede a obtenção de crédito e exige compras de matéria-prima à vista.</t>
  </si>
  <si>
    <t>Necessidade urgente de retomar as vendas (paradas há 6 meses). Organizar os dados que hoje estão isolados em Excel e Word para dentro do sistema Protheus. Limpar a base de representantes inativos e cobrar resultados de quem está em campo.</t>
  </si>
  <si>
    <t>Apresentação de Proposta: Marcada para a próxima quinta-feira, às 14h. Envolvimento de Decisor: Fernando deve garantir a presença da sócia (esposa), que é quem apoia as mudanças.</t>
  </si>
  <si>
    <t>A proposta foi apresentada por Eryclys e Leandro com total aderência técnica às necessidades da DryEration. A DryEration declarou incapacidade orçamentária para o projeto, afirmando que o custo da consultoria está fora da realidade financeira da empresa para este ano.</t>
  </si>
  <si>
    <t>Fabricação</t>
  </si>
  <si>
    <t>Treinamento Melhore a taxa de conversão da sua equipe - Revenda Imóvel</t>
  </si>
  <si>
    <t>REVENDA IMÓVEL</t>
  </si>
  <si>
    <t>ellen@revendaimovel.com.br</t>
  </si>
  <si>
    <t>A Revenda Imóvel atua no mercado imobiliário, trabalhando com cadastro, vendas, revendas e financiamento de imóveis. O negócio é baseado em venda consultiva, com ciclo mais longo, múltiplas etapas e interação constante entre corretor, cliente e instituições financeiras. A empresa possui um volume relevante de corretores e demonstra estar em um momento de estruturação e melhoria de performance comercial, buscando maior organização e eficiência no processo de vendas.</t>
  </si>
  <si>
    <t>A empresa conta com aproximadamente 100 corretores, atuando como força de vendas externa/híbrida, com forte autonomia individual.</t>
  </si>
  <si>
    <t>O cliente procurou a VendaMais com o objetivo de desenvolver a equipe de corretores, estruturando melhor o funil de vendas e aumentando a efetividade comercial. A expectativa é melhorar resultados por meio de capacitação prática, trazendo mais organização, método e segurança para o time atuar em um processo de venda complexo e consultivo, típico do mercado imobiliário.</t>
  </si>
  <si>
    <t>Tentativa de contato, sem sucesso, sem retorno</t>
  </si>
  <si>
    <t>Tentativa de contato - sem sucesso</t>
  </si>
  <si>
    <t>https://cdn.bitrix24.com.br/b19630473/disk/963/963df932ad45607d2d0fcb54d39cf099/d3fb643b6a261c2a9dd5bf62806bce98.pdf</t>
  </si>
  <si>
    <t>Nova tentativa de contato, sem sucesso</t>
  </si>
  <si>
    <t>Nova tentativa de FUP</t>
  </si>
  <si>
    <t>Tentativa de contato novamente</t>
  </si>
  <si>
    <t>Melhore sua taxa de conversão</t>
  </si>
  <si>
    <t>A principal dor identificada é a necessidade de organizar e melhorar o funil de vendas, trazendo mais clareza sobre etapas, abordagem, condução do cliente e conversão. Também fica implícita a busca por padronização da atuação dos corretores, maior consistência no processo comercial e melhor aproveitamento das oportunidades ao longo do ciclo de venda.</t>
  </si>
  <si>
    <t>Não foi mencionado um evento específico ou prazo crítico até o momento. A demanda aparenta estar ligada a uma necessidade estratégica de melhoria contínua, possivelmente relacionada à busca por maior previsibilidade de resultados e eficiência do time comercial.</t>
  </si>
  <si>
    <t>Os indicadores mais citados ou implícitos são: Taxa de conversão do funil de vendas Organização e clareza do processo comercial Produtividade dos corretores Previsibilidade de resultados Qualidade da abordagem e condução da venda consultiva</t>
  </si>
  <si>
    <t>Ficou combinado o envio das propostas de treinamento, com explicação dos dois formatos possíveis, para avaliação interna. O próximo passo esperado é uma nova conversa para definição do modelo mais adequado, possíveis ajustes de escopo e alinhamento de cronograma.</t>
  </si>
  <si>
    <t>Ghost após encaminhamento da proposta</t>
  </si>
  <si>
    <t>Ellen</t>
  </si>
  <si>
    <t>Moraes</t>
  </si>
  <si>
    <t>Diretor de RH</t>
  </si>
  <si>
    <t>PROSPECÇÃO MANIA FOODS</t>
  </si>
  <si>
    <t>MANIA FOODS</t>
  </si>
  <si>
    <t>daniel.freitas@maniafoods.com.br</t>
  </si>
  <si>
    <t>Indústria de alimentos (sanduíches naturais), vende para redes varejistas (Carrefour, Pão de Açúcar) e canais de conveniência. Crescimento acelerado (~21%/ano), porém sem método estratégico definido e com dificuldade de tração em SP/RJ.</t>
  </si>
  <si>
    <t>Time robusto com cerca de 15 vendedores externos por base (SP e RJ), televendas e representantes; liderança comercial dedicada (Diretor Comercial). Processo ainda pouco padronizado, marketing não estratégico.</t>
  </si>
  <si>
    <t>Não foi o cliente que nos procurou — tratou-se de prospecção ativa realizada por mim ( VivianeMoreira). Durante a conversa, o cliente demonstrou interesse em apoio para organizar a política comercial, estruturar estratégia de crescimento, ganhar eficiência comercial e acelerar faturamento em SP/RJ. Também sinalizou necessidade de “braço” analítico e estratégico para tomada de decisão e suporte ao time.</t>
  </si>
  <si>
    <t>Muito bom dia Daniel! Tudo bem com você? Espero que sim! Não tivemos oportunidade de nos conhecer ainda. Me chamo Fabiano Silva e sou Diretor Comercial da VendaMais. Muito prazer! Você estava falando com a Viviane. E vi que ela te passou uma proposta de diagnóstico comercial. Gostaria de saber se posso ajudar em algo ou se poderíamos retomar o contato para conversar um pouco sobre seus novos desafios aí. Olá Fabiano, bom dia! Ela me enviou a proposta e falamos também por video, eu que ainda não me aprofundei na proposta. Farei isso essa semana e retorno para vocês! Obrigado pelo contato Maravilha Daniel! A Viviane não está mais conosco, então pode entrar em contato direto comigo. Excelente semana para você!</t>
  </si>
  <si>
    <t>Em conversa com o Daniel ele estará apresentando o que viu nesses últimos 2 meses junto aos sócios. Após isso definirá os próximos passos. Convidei ele para o SLS. Deve ir.</t>
  </si>
  <si>
    <t>https://cdn.bitrix24.com.br/b19630473/main/552/5520bcd367f33e63a490c2d11a82758e/2a9c6e5865d85edf2b6f7be385ac4f57.pdf</t>
  </si>
  <si>
    <t>Diretor e Gerentes Regionais</t>
  </si>
  <si>
    <t>Ausência de política comercial clara (~190 tabelas de preço), falta de autonomia para negociar, baixa padronização, alto turnover e pouca inteligência de mercado para suportar crescimento.</t>
  </si>
  <si>
    <t>Sim. Nova liderança comercial em fase de diagnóstico e pressão para crescimento em mercados-chave (SP/RJ), além da necessidade de apresentar proposta aos sócios.</t>
  </si>
  <si>
    <t>Faturamento, autonomia comercial, capacidade de negociação, desenvolvimento de mercado, previsibilidade e inteligência de carteira.</t>
  </si>
  <si>
    <t>Envio de proposta de Diagnóstico Comercial e Consultoria com valores estimados para análise interna junto aos sócios.</t>
  </si>
  <si>
    <t>Olhará nos próximos meses o que irá fazer. Mas deve ir para o SLS com um dos sócios.</t>
  </si>
  <si>
    <t>Daniel</t>
  </si>
  <si>
    <t>Freitas</t>
  </si>
  <si>
    <t>Distribuidora Alimentícia</t>
  </si>
  <si>
    <t>Belo Horizonte</t>
  </si>
  <si>
    <t>Consultoria Inside Sales</t>
  </si>
  <si>
    <t>Newbe</t>
  </si>
  <si>
    <t>wilson.junior@newbe.com.br</t>
  </si>
  <si>
    <t>Newbe é uma empresa que atua no segmento e vale transporte e beneficios.</t>
  </si>
  <si>
    <t>Equipe formada por 16 pessoas, 11 executivos, 4 consultores e 1 gerente</t>
  </si>
  <si>
    <t>O diretor Wilson, precisa treinar sua equipe em todos as etapas do processo da venda.</t>
  </si>
  <si>
    <t>Contato realizado com Wilson, afirmou que pretende fechar na semana que vem.</t>
  </si>
  <si>
    <t>https://cdn.bitrix24.com.br/b19630473/main/6b3/6b3d441e01aaf2aefda15b94fe2ce2be/993dabab167edff67c2990f36888ce92.pdf</t>
  </si>
  <si>
    <t>Equipe com fragilidades na prospecção, conversão e baixo ticket</t>
  </si>
  <si>
    <t>Começo do semestre de 2026, esta precisando o diretor a procurar por</t>
  </si>
  <si>
    <t>engajamento, retenção, previsibilidade e nivelamento do ticket</t>
  </si>
  <si>
    <t>marcamos uma reunião de qualificação com o Wilson (diretor) para aprofundarmos mais nas necessidade e alinhar as expectativas.</t>
  </si>
  <si>
    <t>Wilson alegou que devido a reorganização na estrutura da empresa, o treinamento deixou de ser prioridade. Estou trabalhando para manter contato com este lead. E trabalhar pós não venda.</t>
  </si>
  <si>
    <t>Wilson</t>
  </si>
  <si>
    <t>Junior</t>
  </si>
  <si>
    <t>Administradora de cartão</t>
  </si>
  <si>
    <t>Guarulhos</t>
  </si>
  <si>
    <t>Sem Parar Empresas - Workshop liderança 6h</t>
  </si>
  <si>
    <t>Empresa multinacional com atuação no segmento de vale transportes, beneficios e serviços.</t>
  </si>
  <si>
    <t>Equipe de liderança com 15 pessoas + diretores</t>
  </si>
  <si>
    <t>Deseja alinhar</t>
  </si>
  <si>
    <t>De acordo com Anderson, a diretoria ainda não definiu a data para este treinamento,</t>
  </si>
  <si>
    <t>Durante contato feito com Anderson, ele deixou claro que a decisão esta nas mãos da Afonsa (diretora).</t>
  </si>
  <si>
    <t>https://cdn.bitrix24.com.br/b19630473/main/6e5/6e5b1d3c9141dc560e5e6eb18bf432d8/d8b0132641ca90b7ece6d372054f262c.pdf</t>
  </si>
  <si>
    <t>Estamos ganhando espaço internamente com a diretora Afonsa, para seguirmos com a proposta.</t>
  </si>
  <si>
    <t>Liderança de alta performance</t>
  </si>
  <si>
    <t>Os líderes terão um momento estruturado com a diretoria para alinhamento das expectativas para 2026, com foco no desenvolvimento e aprimoramento das soft skills essenciais à liderança.</t>
  </si>
  <si>
    <t>Estão previstos encontros trimestrais de alinhamento com a diretoria, com o objetivo de ajustar o time para alta performance, fortalecer o direcionamento estratégico e garantir consistência na execução.</t>
  </si>
  <si>
    <t>A iniciativa também visa melhorar o engajamento do time, a comunicação, a clareza das ações e a definição dos papéis dos líderes.</t>
  </si>
  <si>
    <t>A proposta já foi encaminhada e encontra-se em acompanhamento. A solicitação foi direcionada ao time interno, que ficará responsável pela apresentação à diretoria.</t>
  </si>
  <si>
    <t>Após o follow-up com o Anderson, ele esclareceu que, em função de uma mudança estratégica conduzida pela diretora Afonsa, o treinamento será realizado internamente, com foco em atender às expectativas definidas pela companhia.</t>
  </si>
  <si>
    <t>Supervisor Comercial</t>
  </si>
  <si>
    <t>Grupo Livy - Convenção RCAs</t>
  </si>
  <si>
    <t>Grupo Livy</t>
  </si>
  <si>
    <t>annapaula@grupolivy.com.br</t>
  </si>
  <si>
    <t>Empresa têxtil do ramo infantil</t>
  </si>
  <si>
    <t>cerca de 25 pessoas no comercial, equipe composta por representantes</t>
  </si>
  <si>
    <t>Vão ter uma convenção de vendas em março e gostaria de conhecer o vendópolis</t>
  </si>
  <si>
    <t>https://cdn.bitrix24.com.br/b19630473/main/de4/de4b4aa3cdd83cc6815929da837c5b88/293c4ead8f28df31d8caa58e8feee964.pdf</t>
  </si>
  <si>
    <t>Vendópolis</t>
  </si>
  <si>
    <t>Treinar os representantes</t>
  </si>
  <si>
    <t>Sim, convenção em Março</t>
  </si>
  <si>
    <t>Não informou</t>
  </si>
  <si>
    <t>Encaminhar a proposta precificada</t>
  </si>
  <si>
    <t>Não irão mais aplicar gamificação na convenção</t>
  </si>
  <si>
    <t>Anna</t>
  </si>
  <si>
    <t>Gaspar</t>
  </si>
  <si>
    <t>Vendas Consultivas de Alta performance 90 colaboradores</t>
  </si>
  <si>
    <t>M.A. Máquinas</t>
  </si>
  <si>
    <t>joao.goncalves@edu.unipar.br</t>
  </si>
  <si>
    <t>A MA Máquinas atua no agronegócio como concessionária exclusiva John Deere, com forte presença no Paraná.</t>
  </si>
  <si>
    <t>Estrutura robusta, distribuída em 16 lojas atendendo cerca de 140 municípios Time de pós-vendas com aproximadamente 90 consultores de peças Atuação majoritariamente presencial e reativa (balcão) Forte domínio técnico (hard skills) Baixa formação em vendas, negociação e geração de negócios Liderança ligada ao DHO, com foco em construção de trilhas de desenvolvimento</t>
  </si>
  <si>
    <t>Mudar a mentalidade do time técnico Transformar o pós-venda em gerador ativo de receita Desenvolver soft skills comerciais Criar uma base estruturada de vendas para consultores de peças Apoiar o crescimento da empresa com mais resultado por cliente atendido Avaliar também desenvolvimento de lideranças comerciais</t>
  </si>
  <si>
    <t>https://cdn.bitrix24.com.br/b19630473/main/5c5/5c5079905d04de6723a2fec30f7a4185/9ed265fa56562dbaeb75303f7dfa9d5b.pdf</t>
  </si>
  <si>
    <t>Processo de liderança (estrutura de líderes no comercial) Liderança conectada ao DHO (Desenvolvimento Humano Organizacional) Atuação estratégica na construção de trilhas de desenvolvimento Reconhecimento claro de que a liderança precisa evoluir junto com o time comercial Interesse explícito em programas de desenvolvimento de liderança comercial e comportamental</t>
  </si>
  <si>
    <t>Alinhamento de necessidades VendaMais &amp; MA Máquinas Convidados Rafael Bortoloso ramosdjonathanf@mamaquinas.com.br Anexos Alinhamento de necessidades VendaMais &amp; MA Máquinas Registros da reunião Transcrição Resumo Rafael Bortoloso, da Vena Mais, encontrou-se com Djonathan Ramos e Rafael, ambos do DHO da MA Máquinas, para discutir desafios de treinamento, onde a MA Máquinas identificou a necessidade de desenvolver soft skills e mudar a mentalidade do time de pós-vendas (cerca de 90 consultores de peças) de "atendente" para "vendedor" proativo, focando em cross-sell. Rafael Bortoloso propôs um workshop de Venda Mais personalizado e modular de 24 horas, focado em gestão de carteira e prospecção no pós-venda. Djonathan Ramos também questionou sobre programas de desenvolvimento de liderança, e Rafael Bortoloso apresentou as opções da Vena Mais. Detalhes Apresentações e Filosofia de Atendimento Rafael Bortoloso, consultor da Vena Mais, iniciou a reunião e pediu desculpas pelo atraso. Ele apresentou a filosofia da Vena Mais, que se baseia em "entender para atender", escutando as necessidades e desafios dos clientes antes de sugerir soluções (00:00:00). Djonathan Ramos, especialista em treinamento e desenvolvimento na MA Máquinas há cerca de 3 anos, se apresentou e mencionou que seu foco é em soft skills e em apoiar o DHO. Rafael, também do time de DHO da MA Máquinas desde o final de 2025, complementou que estão construindo trilhas de desenvolvimento, com vendas sendo uma das áreas prioritárias (00:01:17). Contexto da MA Máquinas e Desafios de Treinamento Djonathan Ramos detalhou que a MA Máquinas emprega aproximadamente 750 a 760 colaboradores, com projeção de crescimento para cerca de 1000, atuando no agronegócio como concessionária exclusiva da John Deere, com 16 lojas em cerca de 140 municípios, principalmente no Paraná (00:03:08). Rafael Bortoloso confirmou que já ouviu falar da MA Máquinas e conhece o mercado agro, entendendo que a venda na área requer uma abordagem consultiva (00:02:24). A MA Máquinas já possui forte investimento em treinamentos técnicos (hard skills), mas identificou a necessidade de desenvolver o aspecto comportamental, especialmente na equipe de pós-vendas (00:03:08). Necessidade de Desenvolvimento Comportamental na Área de Pós-Vendas O foco principal do treinamento é o time de pós-vendas (peças e serviços), que atualmente atua de forma muito passiva, esperando que o cliente venha até o balcão. Djonathan Ramos explicou que esses colaboradores têm grande conhecimento técnico sobre peças, mas precisam desenvolver proatividade, consultoria, negociação, persuasão e prospecção ativa de clientes (00:04:11). O objetivo é mudar a mentalidade de "atendente" para "vendedor" que gere negócios, sendo o foco a venda cruzada (cross-sell) de peças, serviços, manutenção, e insumos (00:05:23). Perfil e Escopo do Treinamento para Consultores de Peças O público-alvo para o treinamento é composto por cerca de 90 consultores de peças, distribuídos nas 16 lojas (00:08:34). A MA Máquinas deseja que o treinamento seja presencial, organizado em 3 ou 4 turmas mistas, com uma carga horária estimada entre 16 e 32 horas, possivelmente modular (00:09:28). Djonathan Ramos ressaltou que 90% dos consultores de peças nunca receberam uma capacitação inicial em negócios, indicando que o treinamento deve ser uma "base" ou um "começo" para calibrarem suas expectativas e mudarem a mentalidade de receber o cliente (00:12:09). Proposta da Vena Mais para o Treinamento de Vendas Rafael Bortoloso reconheceu a necessidade de trocar a mentalidade de atendente para gerador de negócios, sendo o foco o cross-sell e a venda de valor (00:06:39) (00:11:14). Ele afirmou que o desafio trazido, que é de desenvolver técnicas de venda para profissionais técnicos do agro, é comum no setor (00:12:09). Rafael Bortoloso propôs um workshop da Venda Mais personalizado de gestão de carteira, focado no pós-venda, para trabalhar prospecção e conscientizar os colaboradores sobre sua importância como vendedores (00:10:22) (00:14:25). Estrutura do Programa e Próximos Passos O programa de treinamento proposto pela Vena Mais é de 24 horas, dividido em três workshops de 8 horas, incentivando um intervalo de 7 a 15 dias entre os módulos para que os participantes apliquem o conhecimento na prática (00:15:29). Rafael Bortoloso agendou uma reunião para a próxima segunda-feira à tarde para apresentar a proposta personalizada e os detalhes do programa (00:14:25) (00:17:34). Ele enfatizou que os workshops terão muita dinâmica e prática ("mão na massa") para adultos aprenderem (00:15:29). Desenvolvimento de Lideranças Djonathan Ramos aproveitou para questionar sobre programas de desenvolvimento de liderança, reconhecendo a importância de alinhar a liderança com a visão consultiva e proativa (00:17:34). Rafael Bortoloso informou que a Vena Mais possui dois programas: um focado em aspectos comportamentais (como feedback e acompanhamento, chamado "Mapa da Gestão") e outro específico para liderança agro, que alinha técnicas de vendas avançadas com o comportamental (chamado "Power H para Lideranças") (00:18:32). Ele destacou que a Vena Mais sempre integra a liderança, fazendo um briefing detalhado e compartilhando materiais para dar sustentação ao treinamento dos vendedores (00:20:43). Próximas etapas sugeridas Rafael Bortoloso enviará o convite para a reunião de apresentação na segunda-feira para Djonathan Ramos e Rafael. Rafael Bortoloso enviará uma apresentação da Venda Mais para Djonathan Ramos e Rafael. Rafael Bortoloso preparará uma proposta de programa personalizada para a MA Máquinas e a apresentará na reunião de segunda-feira. Rafael Bortoloso trará o programa de liderança para o agro, incluindo a ementa, na apresentação de segunda-feira.</t>
  </si>
  <si>
    <t>Time de pós-vendas com mentalidade de “atendente”, não de vendedor Baixa proatividade comercial Pouco ou nenhum domínio de: Venda consultiva Prospecção ativa Negociação Persuasão Perda de oportunidades de cross-sell em peças, serviços, manutenção e insumos Ausência de um padrão comercial claro no pós-venda</t>
  </si>
  <si>
    <t>Contexto de crescimento acelerado</t>
  </si>
  <si>
    <t>Conversão no pós-venda Faturamento recorrente Ticket médio Produtividade do time Organização da atuação comercial Geração de oportunidades (cross-sell) Engajamento do time técnico com vendas</t>
  </si>
  <si>
    <t>Envio de convite para reunião de apresentação Envio de apresentação institucional da VendaMais Preparação de proposta personalizada do programa Apresentação do programa de liderança agro Reunião agendada para segunda-feira à tarde</t>
  </si>
  <si>
    <t>Com mudanças no senário na empresa Dkonathan falou que não vão mais treinar a equipe no momento. Só vão pensar nisso no ano que vem</t>
  </si>
  <si>
    <t>JOAO</t>
  </si>
  <si>
    <t>GONCALVES</t>
  </si>
  <si>
    <t>Engenheiro</t>
  </si>
  <si>
    <t>Estancia Bahia - Leiloes (Convenção)</t>
  </si>
  <si>
    <t>Estância Bahia- Leiloes</t>
  </si>
  <si>
    <t>Roseane</t>
  </si>
  <si>
    <t>roseane@estanciabahia.com.br</t>
  </si>
  <si>
    <t>A Estancia Bahia Leiloes é uma empresa intermediadora entre comprador e vendedor de rebanhos de gados.</t>
  </si>
  <si>
    <t>Força comercial formada por 50 pessoas incluindo consultores comerciais, 08 coordenadores, 01 GNV e 01 diretor</t>
  </si>
  <si>
    <t>• Criar rituais claros e não negociáveis de prospecção • Transformar relacionamento em estratégia comercial • Desenvolver técnica prática de venda de serviços • Criar cultura de cooperativismo e compartilhamento • Líderes acompanhando método e comportamento, não só resultado • Feedback estruturado e contínuo • Acompanhamento ao longo do ano (checkpoints)</t>
  </si>
  <si>
    <t>https://cdn.bitrix24.com.br/b19630473/main/3eb/3ebddcace4f0561bf4ff1a73fa9cb7e3/7caf60f956baa78189e9d494545533d5.pdf</t>
  </si>
  <si>
    <t>Vendopolis + Vendas consultivas de alta performance</t>
  </si>
  <si>
    <t>• Relacionamentos existem, mas não são convertidos em oportunidades • Baixo uso de pedidos de indicação • Falta de acompanhamento estruturado do pipeline • Competição interna prejudicando resultados coletivos • Falta de clareza sobre como vender serviço e comunicar valor • Treinamentos anteriores com baixa aplicação prática • Liderança focada em cobrança de meta, não em método</t>
  </si>
  <si>
    <t>Convenção para fevereiro</t>
  </si>
  <si>
    <t>• Aumento da constância na prospecção • Mais clientes ativos • Melhor conversão do pipeline • Aumento do ticket médio • Menor oscilação de performance • Mais cooperação entre comerciais • Melhor clima organizacional • Retorno financeiro mensurável</t>
  </si>
  <si>
    <t>Proposta será enviada e apresentada posteriormente para esclarecer duvidas.</t>
  </si>
  <si>
    <t>Por decisão da diretoria, a empresa seguiu com o concorrente " Methodo", mas Roseane ressaltou diversas versas vezes que seguira conosco no 2º semestre do ano.</t>
  </si>
  <si>
    <t>Leilões</t>
  </si>
  <si>
    <t>Cuiaba</t>
  </si>
  <si>
    <t>Móveis</t>
  </si>
  <si>
    <t>Prospecção Norteares Imobiliaria</t>
  </si>
  <si>
    <t>Norteares Imóveis</t>
  </si>
  <si>
    <t>rh@norteares.com.br</t>
  </si>
  <si>
    <t>Imobiliaria BTS em constante evolução no mercado imobiliário</t>
  </si>
  <si>
    <t>25 corretores autonomos</t>
  </si>
  <si>
    <t>Baixa conversão comercial, Falta de direcionamento dos coordenadores, Resistência a treinamentos.</t>
  </si>
  <si>
    <t>https://cdn.bitrix24.com.br/b19630473/main/df9/df9b11a0c65af46baa6ba6ce7407ae05/0a2e99df7d113c8048b3a3221007d3ff.pdf</t>
  </si>
  <si>
    <t>conversão baixa, falta de padronização, sem processos estruturados</t>
  </si>
  <si>
    <t>Não há</t>
  </si>
  <si>
    <t>processos claros, dificuldade de fechamento, timing</t>
  </si>
  <si>
    <t>Proposta enviada 14/01 e próximo call 23/01. Após apresentação para o dono da empresa Flávio</t>
  </si>
  <si>
    <t>Sem Orçamento</t>
  </si>
  <si>
    <t>Naihara</t>
  </si>
  <si>
    <t>Carolina Viana</t>
  </si>
  <si>
    <t>Aceleração Comercial Móveis Albatroz</t>
  </si>
  <si>
    <t>PALUDETTO &amp; CIA LTDA - Móveis Albatroz</t>
  </si>
  <si>
    <t>leandro@moveisalbatroz.com.br</t>
  </si>
  <si>
    <t>A Móveis Albatroz é uma indústria moveleira com cerca de 40 anos de mercado, especializada na fabricação de dormitórios (guarda-roupas, cômodas, cabeceiras, mesas de cabeceira, camarins). Vende para varejistas de todo o Brasil, grandes magazines, marketplaces/e-commerces e também atua com exportação (América Latina, África e Europa). A empresa faturou cerca de R$ 140 milhões em 2025. Embora tenha atingido a meta de faturamento, não atingiu a meta de volume (peso), o que trouxe preocupação. O contexto atual é de pressão por resultados em 2026, com início de ano fraco em carteira e necessidade de reorganização e maior profissionalização da área comercial.</t>
  </si>
  <si>
    <t>Aproximadamente 60 representantes comerciais PJ (time externo) Estrutura de liderança: 1 Diretor Comercial 1 Gerente Nacional de Vendas 2 Supervisores Comerciais Grandes contas e e-commerce atendidos diretamente pelo Diretor e Gerente Nacional Supervisores fazem a gestão dos representantes Não existe backoffice comercial dedicado aos líderes Time interno atua mais em faturamento, pedidos e logística Não há CRM comercial dedicado; utilizam ERP Foco, força de vendas (Full Soft) e Power BI analítico</t>
  </si>
  <si>
    <t>O cliente buscou a VendaMais para trazer uma visão externa, técnica e estruturada, capaz de: Organizar a área comercial Estruturar processos, rotinas e governança Apoiar a liderança na gestão dos representantes Criar previsibilidade de resultados Desenvolver o time sem gerar resistência interna Eles esperam profissionalizar a área comercial e preparar a empresa para sustentar resultados em 2026 e nos próximos anos.</t>
  </si>
  <si>
    <t>Eryclys, boa tarde! Inicialmente, gostaríamos de agradecer o envio da proposta e apresentação do trabalho que a Venda Mais proporciona ao mercado, foi importante e muito relevante para nós. Pensamos sobre o que a consultoria tem a nos agregar, e momento atual da nossa empresa. Elaboramos alguns tópicos para que possam estruturar uma nova proposta, parte deles já foram apresentados, mas acreditamos que seja importante o alinhamento das estratégias de uma possível implantação de consultoria comercial. São eles: Imersão Estratégica e Diagnóstico Ativo – Levantamento, abordagem, entrevistas e outros – buscando informações time comercial interno e outros departamentos que têm sinergia diária para conquista dos objetivos comerciais (logística, faturamento, SAC e outros). Também buscar informações do time externo, consultores/representantes, para termos uma visão deles sobre nossa empresa e estratégia. Logicamente que todas as demais estruturas e ferramentas descritas na proposta permanecem válidas e necessárias. Redesenho Comercial e Planejamento estratégico – com foco na equipe interna. Neste momento consultores/representantes receberiam o mínimo necessário de informações ou ferramentas. Execução Dirigida e Aceleração Comercial - com foco na equipe interna. Neste momento consultores/representantes receberiam o mínimo necessário de informações ou ferramentas. Consolidação e Sustentação Período dessas fases devem compreender 9 meses de consultoria. Entendemos a importância de alinhamento da equipe interna com a externa, porém acreditamos que novos processos e ferramentas devem estar muito sólidos na cultura interna do nosso time, replicar para equipe externa seria fase posterior a ser discutida e avaliada. Aguardo.</t>
  </si>
  <si>
    <t>Entrei em contato novamente com o Leandro para marcar a reunião de fechamento da proposta com os seus sócios. Eles estavam em feira antes do carnaval e o combinado era essa reunião acontecer agora pós carnaval. Ele tem me retornado os contatos, mas estou tentando agenda para ainda essa semana entre dia 19 e 20 de fevereiro.</t>
  </si>
  <si>
    <t>https://cdn.bitrix24.com.br/b19630473/main/588/588ec518d022042de2717e04b9ad8303/95306b3b7c6fc80f67c8cc8875516238.pptx</t>
  </si>
  <si>
    <t>Apresentação de Proposta para todos os sócios da empresa.</t>
  </si>
  <si>
    <t>Reunião VendaMais e Moveis Albatroz - Transcrição 00:00:00 Eryclys Freire: Boa tarde, Eduardo. Tudo bem? Eduardo Paludeto: Oi, boa tarde. Tudo bem Eryclys Freire: Tudo bem. Eduardo Paludeto: você? Eryclys Freire: O Leandro acabou de acabei de aceitar o Leandro na reunião, deve tá chegando aí. Eduardo Paludeto: OK. Eryclys Freire: Boa tarde, Leandro, Leandro Palodeto: Boa tarde, Eric. Tudo bem? Eryclys Freire: tudo bem? Só não tô te vendo. Leandro Palodeto: Beleza. Eryclys Freire: Acho que tá escuro aí. Leandro Palodeto: Ah, minha sala é ruim de às vezes pega um reflexo da tarde aqui, ele câ fica ruim. Eryclys Freire: E aí, como que tá começando 2026 para vocês? Fala um pouquinho. Leandro Palodeto: 2026 tá um ano que a gente tem que remar já bastante do começo. Não fizemos uma, Eryclys Freire: É. Leandro Palodeto: não ficamos com uma carteira boa do da virada, mas é desafio, tá? Eryclys Freire: Uhum. Leandro Palodeto: Normal. Eryclys Freire: Me fala, vou me apresentar, né, para vocês falar um pouco da venda mais. Depois eu queria que vocês se apresentassem, função, o que que vocês executam, 00:06:49 Leandro Palodeto: Ok. Eryclys Freire: a indústria de vocês, o negócio. Tá bom? Meu nome é Eric. Meu nome é Ericles. Eu sou gerente de parcerias estratégicas aqui na Vena Mais. Eduardo Paludeto: Okay. Eryclys Freire: Hoje a Vena Mais ela é um ecossistema de soluções em diagnóstico comercial, consultoria em aceleração comercial e treinamentos corporativos e tudo mais. E a gente tá mais de 30 anos no mercado, atendendo grandes indústrias aí, né? Eu vi que vocês vocês são do setor moveleiro, né? Vocês são do setor de móveis. Eduardo Paludeto: Sim. Eryclys Freire: a gente atende bastante muitas empresas do setor mobileiro também, talvez até vocês conheçam algumas. E agora eu quero deixar com vocês aí vocês me se apresentarem e me falarem, né, o motivo de vocês buscarem a venda mais aí para ajudar vocês esse ano de 2026. Eduardo Paludeto: OK. Meu nome é Eduardo Paludeto, eh, sou CEO aqui da Móveis Albatros. Eryclys Freire: Olha Eduardo Paludeto: A nossa empresa esse ano vai completar 40 anos em novembro. Eh, eu estou aqui na empresa há 34 anos, 00:08:04 Eryclys Freire: só, Eduardo Paludeto: né? Eryclys Freire: olha só. Eduardo Paludeto: Eh, perdi somente os seis primeiros, né? Quem fundou a empresa foi meu pai e dois irmãos, Eryclys Freire: Vamos lá, Eduardo Paludeto: no caso o pai do Leandro, um tio, né? E o outro tio que é pai do Andrei. Nós estamos na segunda geração. A primeira geração foi foi os três irmãos. Eryclys Freire: Leandro, Eduardo Paludeto: Agora nós estamos em três primos, um filho de cada eh sócio fundador, né? fabricamos eh dormitórios, guarda-roupas, cômodas, cabeceiras, eh mesas de cabeceiras, né, camarins e vendemos pro praticamente o Brasil todo, exportamos também e estamos buscando, né, algumas empresas e eh para fazer uma consultoria na área de eh vendas, né, na área comercial. Eryclys Freire: fala um pouquinho. Se bem que o Eduardo já te entregou, né? Segunda geração, os primos. Você continua aí da onde ele parou. Eu acho que tá mudo, Leandro. Eduardo Paludeto: Ah. Leandro Palodeto: Perdão. 00:09:25 Leandro Palodeto: Vamos lá. Eh, como o Eduardo falou, somos uma empresa familiar, né? Somos primos. Eu estou na área financeira e industrial da empresa. Nós, como nós somos em três primos, nós temos um terceiro primo que é da área comercial, que não está presente hoje. Eryclys Freire: Hoje eu chegar Yeah. Leandro Palodeto: Ah, e a gente tá nessa prospecção de uma empresa de consultoria na área comercial para trazer algumas ferramentas para nós, para pra equipe, formação, enfim, trabalhar algumas algumas necessidades que a gente eh tem eh acredita que possam ver, melhorar, aperfeiçoar, enfim, para pro nosso momento hoje de empresa. Nós temos hoje 220 colaboradores. Atuamos todo no mercado nacional, como Eduardo falou, são 60 representantes PJ. Eh, nós temos um time de comercial, comércio exterior que que hoje atua mais na América Latina, eh tem um pouquinho ali na África e atua ali na Europa e no Portugal. São duas pessoas que fazem esse trabalho para nós. Uma delas é Eryclys Freire: Mas eles são essa essas duas pessoas, Leandro Palodeto: também. Eryclys Freire: elas são CLT ou PJ dentro 00:10:44 Leandro Palodeto: Uma é PJ, que é o gerente, e a analista, ela é CLT. Eryclys Freire: Tá. E ela e ela atua no mercado externo. Leandro Palodeto: Ela fica só, ela tá no mercado externo mais na parte documental, Eryclys Freire: Então, Leandro Palodeto: documentação, não faz eh contatos de prospecção e venda para clientes. Ela atua só após fechamento de pedido. Eryclys Freire: aí quem faz a parte da venda é o gerente. Leandro Palodeto: Isso. Eryclys Freire: Então, Leandro Palodeto: Perfeito. Eryclys Freire: então são 60 representantes, Leandro Palodeto: Tá. Eryclys Freire: 200 colaboradores. É, no time comercial em si, contando já contando os 60 representantes, é interno de vocês, tem quantas pessoas hoje? Leandro Palodeto: Então, fora o 60, né, internamente nós temos o diretor comercial, Eryclys Freire: Fora o 60. Leandro Palodeto: que o Andrei, um gerente nacional de vendas, Eryclys Freire: Aham. Leandro Palodeto: um e dois supervisores, eh, que atuam na hora de vendas, né? Depois na área comercial, que é interna, que daí a parte de faturamento, logístico e tal, aí é outro a gente deixa separado. 00:11:49 Leandro Palodeto: Eh, quem sai a campo hoje são os dois supervisores para venda em si. Eryclys Freire: Entendi. Leandro Palodeto: O gerente, o diretor, eles saem para atender KC counts, né, para atender os grandes varjistas, grandes magazines, basicamente. Então eles também fazem Eryclys Freire: grande. Eh, só para eu entender a composição da estrutura comercial, Leandro Palodeto: isso Eryclys Freire: as grandes contas, então, elas estão sob responsabilidade dos gerentes e Leandro Palodeto: do gerente e do diretor. Eryclys Freire: do diretor. Leandro Palodeto: É. Eryclys Freire: Aí separa os representantes comerciais quem fazem a gestão nacional são dois supervisores, Leandro Palodeto: Isso, correto? Eryclys Freire: tá? E esses supervisores, Leandro Palodeto: O o o gerente, Eryclys Freire: eles são de onde hoje? Leandro Palodeto: o gerente também tem no seu guarda-chuva alguns representantes, não muitos, mas alguns dos quais ele também faz a gestão. Eryclys Freire: Ótimo. Leandro Palodeto: O essas duas pessoas, Eryclys Freire: Tá certo? Leandro Palodeto: dos dois residem aqui em Arapongas. Eryclys Freire: Então são são quantos gerentes no total dentro da estrutura? Leandro Palodeto: Diretor gerente, dois supervisores, quatro. 00:12:54 Eryclys Freire: Quatro lideranças, 60 representantes comerciais. Tá? eh eh e-commerce, Leandro Palodeto: Isso. Eryclys Freire: como que é estruturado hoje? Leandro Palodeto: Os ecom nós temos atendido são e-commerce já eh plataformas eletrônicas, tipo Madeira e Madeira, que o nosso gerente de nacional ou eu diretor atendem eles. Eryclys Freire: Ótimo. Leandro Palodeto: Depois nós temos alguns marketplaces também que a gente atende através das grandes magazines, né? Eh, basicamente toda a parte de e-commerce tá com o gerente Eryclys Freire: Beleza? Leandro Palodeto: nacional. Eryclys Freire: Eh, backofice do time comercial, por exemplo, de representante comercial, vocês têm alguma estrutura dentro do organograma de assistente comercial que fazem faz a parte mais operacional ou fica tudo na responsabilidade mesmo do representante Leandro Palodeto: a parte de PEOF, Eryclys Freire: agora. Leandro Palodeto: eh, as tem pessoal nosso de faturamento, comercial interno, que elas fazem eh um trabalho assim misto, elas tentam tanto fazem algumas coisas burocráticas do dia a dia ali do faturamento e da parte de eh análise de pedido de eh adequação e tudo mais. Aí algumas algumas tarefas de repente do gerente, né, de de repente o gerente venha solicitar. 00:14:21 Leandro Palodeto: Eh, mas nenhuma assim nenhum backofice exclusivo dedicado ao gerente não Eryclys Freire: Certo? Não, perfeito. Leandro Palodeto: tem. Eryclys Freire: Perfeito. É só para eu entender a estrutura do do organograma de vocês. Eh, e vamos falar um pouco de resultado, né? Eh, como que foi, qual que era a meta do ano passado, quanto que vocês atingiram, qual o percentual de representantes que conseguiram atingir o objetivo? Vocês têm esses números mapeados? Leandro Palodeto: Bom, em termos de faturamento, a gente até alcançou o valor, porém em peso, Eryclys Freire: Ótimo. Leandro Palodeto: que é o volume, a gente não alcançou. Eh, o que que aconteceu? Eryclys Freire: Так. Leandro Palodeto: Nós tivemos aí entrada de um magazine do qual ele carrega um pouco na receita e aí a receita, por mais que tenha sido atingida, ela não foi eh eh a meta não foi alcançada devido ao volume que foi ao vendido não ser suficiente para aquilo que a gente tinha estipular. Porém, houve sim um crescimento de 4.8% em volume. Mas quando a gente Eryclys Freire: em volume de matéria de material, 00:15:28 Leandro Palodeto: começa volume de Eryclys Freire: não, volume de faturamento. Leandro Palodeto: material, quando eu falo volume, eu falo peso, Eryclys Freire: Tá beleza, Leandro Palodeto: valor, eu falo faturamento. Eryclys Freire: fechou. Leandro Palodeto: Aí quando nós comparamos e começamos a a a estratificar um pouco os canais, a gente percebeu que aqueles canais de varejo que são pulverizados, que a gente chama, eh que são aqueles pequenos logístas esparramados ao longo do todo o território nacional e na nas regiões dos supervisores que estão a cargo deles, eh, a maior parte dessas regiões, nós tivemos quedas de 9, 10%. Eh, então um grande magazine que entrou ano passado na nossa carteira, ele fez um bom volume e eles não deu resultado. Só que quando a gente enxerga as demais áreas, a gente teve perca, a gente teve queda. Eh, isso aí que a gente não, na verdade, não seria esse o motivo que a gente tá buscando a consultoria, mas essa foi uma realidade nossa 2025. Eryclys Freire: Certo? Eh, quando a gente fala em faturamento, a gente fala em um valor ano de quantos milhões? 00:16:36 Leandro Palodeto: 140 Eryclys Freire: 140 milhões. Eh, Leandro Palodeto: milhões. Eryclys Freire: se eu se eu olhar pros clientes e vocês têm o mapeamento da carteira, eh, quantos clientes representam 80% do faturamento, desse faturamento? Vocês têm esse número? Sabem me dizer? Leandro Palodeto: A 80% acredito que eu no máximo 12 a 15 Eryclys Freire: 12. Leandro Palodeto: clientes. Eryclys Freire: E qual que é a dimensão dessa carteira nacional? Leandro Palodeto: Não, 80% acho que do você fala do do do faturamento do faturamento Eryclys Freire: Ó, a conta é assim. Leandro Palodeto: total. Eryclys Freire: É, a conta é assim, são 140 milhões, certo? Leandro Palodeto: É. Eryclys Freire: 140 milhões distribuídos por 1000 clientes, por exemplo. Leandro Palodeto: Aham. Eryclys Freire: Aí você coloca lá uma régua, 80% desse faturamento tá concentrado em quantos Leandro Palodeto: Ah, Eryclys Freire: clientes? Leandro Palodeto: eu acho que eu falei besteira aqui. Acho que vamos esquecer esses 12 a 15. 00:17:31 Eryclys Freire: Vamos esquecer os 12 clientes, Leandro Palodeto: Eu não tenho esse, Eryclys Freire: não tem problema não. Leandro Palodeto: eu não tenho esse dado na mão, então acho que é melhor não falar nada para você, não. Eryclys Freire: Então tá bom. Então tá bom. Leandro Palodeto: M. Eryclys Freire: Eh, agora me diz uma coisa. Eduardo Paludeto: Eh Eryclys Freire: o motivo de vocês procurarem uma visão externa para tá dentro da operação de vocês com consultoria. Aí agora eu preciso que vocês falem exatamente qual que é o problema para ver o que que eu consigo trazer para vocês de de solução. Eduardo Paludeto: na verdade, o que que nós estamos buscando, né? Nós estamos buscando a nossa área comercial, a gente nota que eh não é o WI, ou seja, eles eh conseguem ter penetração nos clientes, conseguem ter uma boa comunicação, conseguem realmente eh trazer pedidos aqui para dentro, porém o que falta é a questão de de organização, a questão de de eh planejamento, e a questão também de acompanhamento de tudo isso. Então, e eu acho que é isso que tem que ser melhorado em termos do do da nossa área comercial. Nós aqui eh sabemos, né, e cobramos eles de vez em quando, mas eh aquela velha história, né, parece que santo de casa não faz milagre. 00:18:56 Eduardo Paludeto: Então, por isso que talvez estarem estamos buscando assim uma uma empresa para nos ajudar para fazer com que eles realmente entendam a importância de tudo isso para que a empresa possa evoluir, né, como já evoluir em várias áreas também evoluir nessa área Leandro Palodeto: Ja. Eduardo Paludeto: comercial. Eryclys Freire: Certo? Eh, me diz uma coisa, quando a gente fala de quando você fala de gestão de rotina, né, dos representantes e tudo mais, eh, me fala um pouco de ferramentas que vocês utilizam hoje no dia a dia dentro da operação comercial, ERP, CRM, vocês trabalham com alguma ferramenta? Vocês têm isso, disponibilizam isso pro time? Leandro Palodeto: Nosso RP é o foco do Rio Grande do Sul. Eryclys Freire: Угуm. Leandro Palodeto: Nós temos uma ferramenta de força de vendas, que é na verdade que mais um sistema para inserção de pedidos online para os representantes, chamada Full Soft, também do Rio Grande do Sul. Eh, nós temos um time de TI interno, não é PJ, os dois são PJ, na verdade. Eh, estamos construindo algumas algumas eh rotinas também no nosso TI, mas o TI nosso, perdão, o TI nosso, ele tem algumas já alguns alguns trabalhos feitos em Power BI paraa gente ter relatórios, mas não é um Power BI preditivo, é mais analítico mesmo de relatórios passados, de dados passados, né? 00:20:46 Leandro Palodeto: Eh, depois a gente tem, ah, aí são integrações que a gente faz com com os e-commerces, né, para automatizar a entrada de pedidos. E a gente tá passando por um processo de implantação de uma outra ferramenta também para trocar o força de vendas nosso para e até nele poderá a gente tem Eryclys Freire: Tá. Leandro Palodeto: também a intenção de usufruir um um CRM, que nós não temos um CRM dedicado ao comercial. Eduardo Paludeto: Ah. Leandro Palodeto: Dedicado não, não tem nenhum para nenhuma das das áreas. A gente tem um CRM da foco, mas ele é bem complexo de usar e ele é usado hoje mais pelo financeiro para de repente eh atribuir chamados que foram feitos de de cobrança, mas não são não é um um CRM assim, como que eu posso dizer, fácil de mexer, um CRM bem bem bem chatinho. M. Eryclys Freire: E aí isso a gente consegue auxiliar vocês na implementação e na na indicação da melhor ferramenta dentro da estrutura. Eu vou falar um pouquinho como que como que funciona o nosso processo de aceleração comercial dentro da consultoria. Tá? Então vocês vão ter aí praticamente um um ou dois consultores dedicados dentro do negócio de vocês trabalhando junto com vocês dentro do mês. 00:22:12 Eryclys Freire: Então ele é dividido mais ou menos em quatro pilares: imersão estratégica e diagnóstico ativo, redesenho comercial e planejamento estratégico, execução dirigida e aceleração comercial e consolidação e sustentação. Como que funciona? Tá? Dentro da imersão estratégica e do diagnóstico ativo, a gente faz uma estruturação preliminar de indicadores. Então eu vou olhar pro pro mix de produtos de vocês, paraa carteira, paraa cobertura dessa carteira, taxa de conversão. Eh, a gente dá um direcionamento rápido às lideranças sobre as perdas de oportunidades. Então, a gente vai olhar o macro da da estratégia de vocês e tirar um diagnóstico disso. Então, isso é baseado em quem? reuniões táticas iniciais com gerentes supervisores, análise de governança comercial, assentments técnicos comportamentais da liderança, segmentação de carteira via metodologia RFM, análise de política comercial, avaliação de dados, indicadores, CRM, BI, a gente vai avaliar e vai sugestionar isso para vocês. Pesquisa com clientes dentro da base, dentro da base de vocês. Leandro Palodeto: Ja. Eryclys Freire: Isso a gente faz tudo na imersão estratégica. Então, a gente entra para dentro da operação de vocês, mapeia tudo com o diagnóstico, tá? 00:23:26 Eryclys Freire: E depois a gente traz os insightes para vocês na parte de redesenho comercial e planejamento estratégico. Eh, redefinição de de governança comercial, canal, território, carteira, redistribuição da atuação dos times, por exemplo. Vocês não me falaram nada de inside sales, não sei até que ponto o modelo serviria pro negócio de vocês, Eduardo Paludeto: Ja. Eryclys Freire: mas nós já atendemos empresas do setor mobileiro que já tem time de inside se sal trabalhando. Isso tem ajudado o o time de representantes comerciais. Então, por exemplo, não sei se vocês conhecem, mas eu vou falar alguns clientes aqui, vocês me sinalizam se vocês conhecem. A Italíia, a gente trabalha, a Itatia, nós trabalhamos, a Móveis Lopas, a gente trabalha também com eles. Então, são players do mesmo segmento que já estão com a gestão da representação comercial bem estruturada e estão indo migrando pro Inside Seos, para vidas internas. Isso já tá representando de de 12 a 15% do faturamento deles, né? Então a gente a gente faz essa análise, sugestiona e se precisar construir, redesenhar, a gente faz isso junto com vocês. Criação ajuste formado da política comercial. 00:24:35 Eryclys Freire: Então a gente vai olhar pra política comercial de vocês e vai verificar como que ela tá acontecendo na prática. Porque uma coisa é o que a gente faz em documento e a gente passa pro financeiro. Outra coisa é o que o time tá fazendo no campo e tá chegando aí pro pessoal do financeiro às vezes ter que resolver algum problema de limite, de crédito de cliente, comissão de pagamento errada. Isso a gente olha também clusterização dos clientes por priorização de atendimento em mé. Então a gente faz essa curva ABC de clientes, a gente olha para isso também. Definição de rotina, ritual de liderança, coaching em acompanhamento. Isso aqui é com as lideranças e com o time comercial, né? Que aí vocês falaram que precisa mesmo de implementação, de ritual, de liderança, de coach, de acompanhamento pro time de representantes comerciais. Eu sei que é difícil, né? Hoje na gestão dos representantes comerciais. são todos funcionários PJ, que é muito difícil a gente cobrar, né, isso, mas a gente faz em coparticipação, né, construção de dashboards, gestão de relatórios, modelo de operação, modelo de operação comercial, arquitetura de receita, tudo isso dentro do redesenho da área comercial. 00:25:48 Eryclys Freire: Então, a gente faz um diagnóstico, traz o plano de ação e depois a gente vai pra execução dirigida da aceleração. Então, isso que eu tô falando aqui não é uma proposta nem nada. Só tô desenhando para vocês para ver se faz sentido pra gente ir para uma conversa de reunião de proposta mesmo, tá? Então, como que é a execução dirigida? Então elas são baseadas em reuniões quinzenais com os consultores, as lideranças comerciais, monitoramento e acompanhamento da execução do que tá no papel do planejamento que foi feito, carteira, mix, recuperação de nativos, que eu posso chegar aí e falar e e olhar para você, vocês falarem para mim, ó, hoje eu tenho quatro indicadores chave. Aí a pergunta que eu vou fazer é: "Mas eles te levam a onde?" O time tem consciência disso? Aí a gente traz uma visão total dos indicadores e fala para vocês: "E se a gente olhar para esse e esse indicador? Se a gente medir o time dessa forma, se a gente remunerar o time dessa maneira, a gente redesenha isso e tudo isso fica com vocês, é de vocês dentro do processo da consultoria, tá? Trazendo previsibilidade de meta de resultado." Eh, ele falou, o o Leandro falou que vocês entregaram a meta, por exemplo, de de de material, né? 00:27:04 Eryclys Freire: de volume, mas não chegaram na meta de faturamento, né? Então a gente tem que pode falar, Leandro Palodeto: É oo Eryclys Freire: Eduardo, foi chegaram na meta de faturamento, Leandro Palodeto: contrário. Eryclys Freire: mas não chegaram na meta de de de matéria, de volume. Leandro Palodeto: Volume. Eryclys Freire: De volume. Eduardo Paludeto: Isso. Leandro Palodeto: Isso. Isso. Eduardo Paludeto: Ja. Leandro Palodeto: A gente fala em volume, Eryclys Freire: Exatamente isso, Leandro Palodeto: a gente fala em peso aqui. Eryclys Freire: peso. Ótimo. Ótimo. É, a gente dá uma olhada também como que tá o sistema de SOP, SOE, como que tá esses processos dentro da empresa de vocês e auxilia na construção disso para não acontecer esse desalinhamento, tá? Eh, capacitação da liderança, coaching, feedback, disciplina de execução e uso de inteligência preditiva para recomendações de ações comerciais. Então, se precisar fazer uma campanha, alguma coisa para potencializar algum ponto que a gente precisa, a gente ajuda isso dentro de dentro da consultoria. E por último é a consolidação e a sustentação. 00:28:03 Eryclys Freire: Então aí vocês recebem, por exemplo, um um playbook comercial, um planejamento estratégico consolidado, a gente constrói isso com vocês. Então, consolidação das práticas de governança, de liderança, de inteligência comercial. Então não é só ir e mostrar, não é? A consultoria da venda Mais ela é muito mão na massa. De fato, a gente vai, se precisar sentar do lado, a gente senta e constrói os documentos. Então vocês vão sair já com com as práticas de governança, de liderança e de inteligência comercial documentadas dentro do processo. E vocês só vão precisar replicar isso, tá? hoje, eh, um não sei como que vocês estão olhando pro mercado, mas hoje isso é um processo que dura em torno de 12 meses, mais ou menos, né? Então, a consultoria da Avena Mais é em torno de 12 meses. Aí a gente trabalha tanto na parte híbrida, eh, o modelo híbrio, uma visita presencial por mês e e reuniões semanais de 2 horas cada, ou 100% presencial, que aí você vai ter um consultor da Venda Mais junto com vocês uma vez por semana dentro da operação a trabalhando junto com vocês no no horário comercial, né? 00:29:20 Eryclys Freire: Aí o que eu queria ouvir de vocês. Faz sentido? O que eu tô falando? É exatamente o que vocês procuram agora para esse momento? Leandro Palodeto: Eric, quantos consultores, Eryclys Freire: Pode falar. Leandro Palodeto: quantos consultores vocês têm? Eryclys Freire: Nossa, cara, em torno de 50. Leandro Palodeto: Uhum. Aí Eryclys Freire: Em torno de 50 no Brasil a gente atende um mercado Leandro Palodeto: vocêum Eryclys Freire: interno e externo aqui também. Então, nós temos clientes na América Latina inteira. Leandro Palodeto: é só a consultoria em vendas ou tem algum outro tipo de consultoria? Eryclys Freire: Consultoria comercial geral não quer dizer, por exemplo, que nós não nos envolvemos, por exemplo, em algumas ações de marketing, né? A gente faz isso também junto e estruturação junto com vocês, porque marketings está diretamente ligado a vendas. Leandro Palodeto: Aí, deixa eu entender um pouco o que você falou. Você falou que vai desenvolver um plano baseado num diagnóstico que vocês vão fazer e ele vai funcionar como se fosse uma cartilha ser executada. Eh, a gente não vai, a gente vai começar, não vai ter um um certo embate com a equipe comercial e sofrer com o engajamento deles. 00:30:28 Leandro Palodeto: Se a gente chegar e apresentar isso para eles, eu queria entender um pouco sobre isso. Eryclys Freire: Depende. Ô, ô, Leandro, isso a Vena Mais quando ela vem, ela vem como um parceiro estratégico dentro da operação. Então, a gente não vem com buzinas e alardes para dentro da operação ditando o ritmo, né, de como que as coisas deveriam acontecer. Eh, a gente faz a a melhor coisa que tem dentro do processo de consultoria é o diagnóstico Leandro Palodeto: Ah. Eryclys Freire: comercial, porque eu vou lá no teu representante, eu rodo com ele um dia, ele tá ansioso para falar da empresa, ele quer alguém para falar e é dali que a gente tira os principais insightes que vão direcionar a nossa estratégia, porque aí a gente vê o desalinhamento muitas vezes do que a gente escuta internamente na empresa e o que o pessoal tá falando no campo. E a gente traz essa informação para vocês e fala assim: "Cara, vocês estão me apresentando isso no diagnóstico comercial". Só que o que tá acontecendo na prática é isso. E aí a gente alinha as expectativas e traz o plano de ação em conjunto. Então assim, resistência é muito difícil nós termos em relação ao deixa, deixa eu colocar a palavra certa, em relação à sabotagem da operação, porque a gente vai como um parceiro do representante comercial, do time comercial, 00:31:46 Leandro Palodeto: Так. Eryclys Freire: a gente vai com um braço a mais de fala para a empresa. Então, muitas vezes, eh, a gente vai mais para ouvir os representantes comerciais e a o time de liderança e depois levar os insightes paraa diretoria e falar assim: "Cara, ô, eles estão falando que tá acontecendo isso, como que é? Como que vocês imaginam?" E a gente alinha as expectativas. Quando a gente alinha as expectativas, a gente chega num meio termo entre o que é bom pra empresa e o que vai deixar o time mais confortável. E daí a gente parte para execução. Geralmente a execução é colaborativa. Leandro Palodeto: Uhum, entendi. Eduardo Paludeto: Essas empresas que você falou ali da área moveleira, vocês trabalham com ela ou já trabalharam com ela? Continuam? Eryclys Freire: A única que nós é, ó, porque por exemplo, a Italine a gente já fez um trabalho, hoje a gente trabalha mais com workshop, palestra com eles. A Móveis Lopas, Eduardo Paludeto: Uhum. Eryclys Freire: a gente tá trabalhando convenção e a Itatia já finalizou o projeto de aceleração comercial, Eduardo Paludeto: E durou quanto tempo na Itatia? 00:33:04 Eryclys Freire: acho que quatro, quatro a 5 meses. Eduardo Paludeto: 4 5 meses. Eryclys Freire: Aceleração. Isso, isso de consultoria. Eduardo Paludeto: Uhum. Eryclys Freire: Mas nós fizemos o diagnóstico de 90 dias também dentro do processo, Eduardo Paludeto: Ah, tá. Uhum. Eryclys Freire: que aí é a consultoria é muito modular, né? Às vezes eu chego com vocês e a gente faz um contrato de 12 meses, mas a gente no fechamento da proposta vocês olham o escopo do projeto, fala assim: "Cara, mas isso aqui eu já tenho, isso aqui eu já tenho". Aí a gente modula para ir direto no que vocês precisam. Não, não, a gente não perde muito tempo na execução. Então, o que vocês já estão fazendo bem, é vocês continuam fazendo bem. Mendo que vocês precisam da nossa ajuda, a gente acelera e consolida o processo Eduardo Paludeto: Então o prazo que você falou em torno de 12 meses foi algo geral, né, completo e caso a gente opte por algo mais eh Eryclys Freire: completo. Eduardo Paludeto: direcionado, daí é menos tempo conforme o que a gente escolher, Eryclys Freire: Isso. 00:34:01 Eduardo Paludeto: né? Eryclys Freire: Isso mesmo. Geralmente, por exemplo, quando quando a consultoria ela vem acompanhada de um diagnóstico comercial, é todo mapeamento a gente, se a gente colocar numa linha do tempo, eu vou falar para você que em 90 dias a gente faz o diagnóstico comercial da operação dentro da consultoria e o restante dos meses a gente divide entre a execução e a consolidação. Então, se a gente for olhar de fato eh a mão na massa, ela vai acontecer a partir do 45 90 dias, porque até lá a gente vai estar pedindo informação e olhando pra operação de vocês para trazer, Eduardo Paludeto: Ok. Eryclys Freire: montar esse planejamento, esse e as percepções e recomendações em relação à empresa para direcionar a estratégia de execução. Leandro Palodeto: Muito bem. O o o projeto que você cita então na consultoria, ele é ele é Eryclys Freire: Tem tem os dois modelos, Leandro Palodeto: presencial. Eryclys Freire: tá? Ô Leandro, aí depende do budget, da expectativa de valor que vocês estão esperando em relação à consultoria, né? Leandro Palodeto: Uhum. Eryclys Freire: Por exemplo, o modelo híbrido ele é mais barato, né? Porque o modelo híbrido são são é uma reunião por semana e de 2 horas cada e um dia presencial por mês do consultor da venda Mais. 00:35:30 Eryclys Freire: Aí dentro da estrutura você tem três consultores dentro da estrutura atendendo vocês tanto no híbrido quanto no modelo 100% presencial, né? Você tem o gerente do projeto, você tem o consultor que vai estar junto com vocês e você tem a pessoa de dados nossa, que faz toda a tabulação e pega a documentação de vocês para tirar os insightes. Leandro Palodeto: Perdão, como que é? Eryclys Freire: Então, Leandro Palodeto: É o gerente. Eryclys Freire: um gerente do projeto, Leandro Palodeto: Aham. Eryclys Freire: um consultor especialista e uma pessoa de Leandro Palodeto: Uhum. Eryclys Freire: backoffice da Venda Mais. Leandro Palodeto: Tá. Esse backofice é o é o dados, Eryclys Freire: Tanto no isso é isso mesmo, Leandro Palodeto: é o análise de dados, Eryclys Freire: nossa analista de dados que aí ele vai, Leandro Palodeto: tá? Eryclys Freire: ele faz basicamente o quê? Ele ele pega uma série de de documentos que a gente já tem, pega e faz as análises com base na carteira de vocês e tudo mais. Ele traz isso para dentro do diagnóstico comercial, dentro da consultoria. Então isso tanto no modelo online quanto no modelo híbrido você tem, né? 00:36:35 Eryclys Freire: Aí depende muito do do time de vocês e da expectativa de vocês, né? Vocês podem chegar em mim e falar assim: Écris, eu prefiro que seja tudo presencial. Aí você vai ter quatro dias eh quatro dias presenciais por Leandro Palodeto: Entendi. Eryclys Freire: mês. Leandro Palodeto: OK. Alguma pergunta mais, Edu? Eduardo Paludeto: Eh, quanto tempo tem a a consultoria, a empresa a venda mais? Eryclys Freire: 32 anos. Leandro Palodeto: А Eduardo Paludeto: Uhum. Eryclys Freire: A venda mais 32 anos. A gente era uma revista, né? Eduardo Paludeto: OK. Eryclys Freire: E a gente foi migrando para um hub de soluções em consultoria, diagnóstico e treinamentos corporativos. Eduardo Paludeto: Interessante de revista passou a a ser Eryclys Freire: Eh, Eduardo Paludeto: consultoria. Eryclys Freire: você já ouviu falar da revista Venda Mais Raul Candelouro do Marcelo Leandro Palodeto: Eu Eryclys Freire: Caetano? Eduardo Paludeto: Hum. Eu sinceramente Eryclys Freire: Não, Leandro Palodeto: já, Eryclys Freire: não conhece. Leandro Palodeto: eu já, Eduardo Paludeto: M. Leandro Palodeto: na verdade, eu já assinei já a revista já no passado, 00:37:40 Eryclys Freire: Já assinou a revista? Leandro Palodeto: tá? Eryclys Freire: É, eu ainda tenho alguns exemplares aqui dela. Leandro Palodeto: Uhum. Ô, Eric, eh, como é que funciona o trabalho? Ele vai ficar voltado para tanto equipe interna e externa ou só equipe interna? Como que é isso aí? Eryclys Freire: depende da necessidade de vocês. Ô, ô, Leandro, tratando do comercial, né, a gente consegue fazer as duas coisas, tanto equipe interna quanto equipe externa dentro da aceleração comercial, Leandro Palodeto: Com a equipe externa você faria o quê? Você pode me dar um exemplo? Eryclys Freire: com os com os representantes comerciais, Leandro Palodeto: exemplo, na verdade. Eh, Eryclys Freire: metodologia, principalmente implementação de ferramentas, análise de dados e forma de trabalhar, rituais de trabalho, acompanhamento em campo, checklist, por exemplo, de visita. Observar como que ele faz a visita, quem quem quem é o representante case de sucesso, tentar nivelar todos no mesmo nível. Leandro Palodeto: Uhum. Eryclys Freire: E isso a gente trabalha muito mais com as lideranças, Leandro Palodeto: Tá. Eryclys Freire: tá? 00:38:46 Eryclys Freire: Porque o representante comercial é complicado por ser um um um prestador de serviço PJ. Eh, a gente vai muito na parceria com os caras, a gente trabalha muito a liderança paraa liderança executar as ações de rituais e tudo mais dentro das rotinas que a gente estabelece. Então, eh, por exemplo, a gente apresenta paraa diretoria uma sugestão de rotina pro gerente e a gente pega o job description dele, o que que ele tem que fazer e como que ele tem que executar isso. Dentro disso, nós já temos as rotinas com os representantes comerciais. E aí depois a diretoria valida com o gerente se aquilo tá sendo executado ou não e e começa a medir o resultado disso. Leandro Palodeto: Entendi. OK. Eu acho que as minhas dúvidas foram todas fanadas. Eryclys Freire: Como que vocês estão de time, expectativa para início desse trabalho? me falem porque aí eu trago uma proposta de acordo com o contexto de vocês e Leandro Palodeto: Olha, Eryclys Freire: apresento para vocês. Leandro Palodeto: a a gente sabe da nossa necessidade com relação a a à consultoria comercial. Ele é um assunto novo, recente. Ele vem a gente vem venti</t>
  </si>
  <si>
    <t>O principal desafio é a falta de organização, planejamento e acompanhamento estruturado da área comercial. Não é um problema de esforço ou relacionamento dos vendedores, mas sim de: Ausência de rotina clara de gestão Falta de indicadores que direcionem comportamento Pouco acompanhamento da execução Dificuldade em padronizar a atuação dos representantes PJ Isso gera perda de performance, baixa previsibilidade e desequilíbrio entre canais.</t>
  </si>
  <si>
    <t>Sim. 2026 começou com carteira fraca, gerando alerta na diretoria A empresa percebeu perdas relevantes em canais pulverizados em 2025 Há pressão por reorganizar o comercial antes que o ano avance sem correção de rota Não há um evento pontual (como convenção), mas há urgência estratégica no início do ciclo anual.</t>
  </si>
  <si>
    <t>Os mais citados ou implícitos na conversa foram: Organização do processo comercial Previsibilidade de resultados Produtividade do time de representantes Acompanhamento e gestão por indicadores Equilíbrio entre faturamento e volume Engajamento e disciplina do time comercial Melhor leitura de carteira, mix e canais</t>
  </si>
  <si>
    <t>Apresentação de Proposta de Aceleração Comercial dia 16.01 as 14:00</t>
  </si>
  <si>
    <t>Após várias tentativas de evolução da proposta, o Leandro esclareceu em ligação que não conseguiu alinhar as expectativas com seu sócio e o Gerente Nacional de Vendas. No fim, eles decidiram declinar a proposta por preferirem seguir sem ajuda externa no momento.</t>
  </si>
  <si>
    <t>LEANDRO</t>
  </si>
  <si>
    <t>PALODETO</t>
  </si>
  <si>
    <t>Diretor Financeiro</t>
  </si>
  <si>
    <t>Arapongas</t>
  </si>
  <si>
    <t>Destrave suas vendas - SIF</t>
  </si>
  <si>
    <t>SIF</t>
  </si>
  <si>
    <t>tamara.braga@sif.org.br</t>
  </si>
  <si>
    <t>Empresa da UFV, empresa de investigações florestais</t>
  </si>
  <si>
    <t>10 a 20 pessoas no comercial</t>
  </si>
  <si>
    <t>Deseja um treinamento mais genérico que trate temas como técnicas de vendas, posicionamento, perfil etc</t>
  </si>
  <si>
    <t>Tamara informou que já encaminhou a proposta para a diretoria avaliar</t>
  </si>
  <si>
    <t>Tamara informou que ainda não apresentou a proposta para coordenação pois ainda está coletando orçamentos</t>
  </si>
  <si>
    <t>https://cdn.bitrix24.com.br/b19630473/main/74e/74ef977444356d57d3a70d50c64a223b/30c44aeea42ad606e9fab412c7631b0c.pdf</t>
  </si>
  <si>
    <t>Ainda estão avaliando</t>
  </si>
  <si>
    <t>Destrave suas Vendas</t>
  </si>
  <si>
    <t>Não ficou claro, deseja apenas um treinamento mais básico para o time</t>
  </si>
  <si>
    <t>Não ficou claro, conversa foi breve, cliente aparenta querer apenas um orçamento</t>
  </si>
  <si>
    <t>Encaminhei a proposta por e-mail conforme cliente solicitou</t>
  </si>
  <si>
    <t>Não irão seguir com a capacitação nesse momento</t>
  </si>
  <si>
    <t>Tamara</t>
  </si>
  <si>
    <t>Braga</t>
  </si>
  <si>
    <t>Analista Pleno</t>
  </si>
  <si>
    <t>Serviços Ambientais</t>
  </si>
  <si>
    <t>Viçosa</t>
  </si>
  <si>
    <t>Power Farma - 16h - Pense Farma</t>
  </si>
  <si>
    <t>Grupo Pense Farma</t>
  </si>
  <si>
    <t>erikacastro@pensefarma.com.br</t>
  </si>
  <si>
    <t>Grupo de farmácias, empresa familiar, possuem 49 lojas espalhadas pelo estado de São Paulo, concentradas na região de Cotia, Butantã, Vargem Grande e litoral (Praia Grande)</t>
  </si>
  <si>
    <t>Cerca de 600 colaboradores, 400 a 500 devem ser treinados, entre eles estão balconistas, vendedores, farmacêuticos</t>
  </si>
  <si>
    <t>A Pense já possui um consultor para treinamento em relacionamento interpessoal e postura, mas sentem falta de um foco maior no varejo e em vendas, por isso querem uma empresa externa atuando junto a equipe</t>
  </si>
  <si>
    <t>Entrei em contato para verificar o andamento da proposta, Erika me respondeu dizendo que está compilando todas as propostas para sua gerente, ou seja, ainda estão em avaliação</t>
  </si>
  <si>
    <t>Havia encaminhado e-mail com números e dados instigando uma reflexão para acelerar a decisão, porém, não tive retorno no e-mail, por isso, encaminhei uma mensagem no Whatsapp e a Erika respondeu informando que a proposta já está com a gerente</t>
  </si>
  <si>
    <t>https://cdn.bitrix24.com.br/b19630473/main/974/9744c2a8d302753fe55c1818115a1178/d5c66724c58645b3c580064364a8ce65.pdf</t>
  </si>
  <si>
    <t>Encaminhado e-mail solicitando atualização do andamento da proposta</t>
  </si>
  <si>
    <t>Entrei em contato com a Erika, informei que poderíamos trabalhar no valor da proposta para encaminhar para um fechamento, mas que para isso precisaria de uma reunião com sua gerencia, ela gostou da ideia e disse que irá conversar com a gerencia para marcarmos, sugeri entre sexta e segunda pós carnaval. Irá me retornar amanhã</t>
  </si>
  <si>
    <t>https://docs.google.com/document/d/1UtLksGXrgdFTLplmnhJjRiTPljN63dOI1QHHIoUd6Uo/edit?tab=t.qzdyevf5iytl</t>
  </si>
  <si>
    <t>Power Farma</t>
  </si>
  <si>
    <t>Os desafios atuais da Pense, destacando que a empresa opera com 49 lojas, é aumentar o faturamento e o ticket médio, pois nenhuma loja atinge 1 milhão de faturamento, o que é preocupante. A cultura organizacional está em transição para uma gestão mais humanizada, mas o alto turnover no varejo farmacêutico dificulta a formação de vendedores e líderes. O maior gargalo é fazer com que os funcionários aprendam a vender, um foco que a Pense está tentando mudar através de um modelo mais agressivo de vendas do CEO, com metas claras e a prática de venda casada/agregada</t>
  </si>
  <si>
    <t>Ticket Médio, faturamento, cross-sell, redução de turnover dos seus colaboradores</t>
  </si>
  <si>
    <t>As meninas irão apresentar a proposta para a gerente e irá nos contatar para alinharmos os próximos passos.</t>
  </si>
  <si>
    <t>Fecharam a agenda de treinamentos com suporte interno, não seguirão com as cotações realizadas</t>
  </si>
  <si>
    <t>Erika</t>
  </si>
  <si>
    <t>Indústria Farmacêutica</t>
  </si>
  <si>
    <t>Cotia</t>
  </si>
  <si>
    <t>Palestra Marcelo Caetano - Convenção de vendas Trevilub</t>
  </si>
  <si>
    <t>Trevilub</t>
  </si>
  <si>
    <t>Distribuidora Atacadista de Lubrificantes e equipamentos automotivos</t>
  </si>
  <si>
    <t>Para a convenção de vendas será um contingente de 130 pessoas</t>
  </si>
  <si>
    <t>Terá uma convenção de vendas no dia 07/02 e desejam uma palestra de até 1h30 do Marcelo Caetano voltados em foco no cliente, experiência do cliente.</t>
  </si>
  <si>
    <t>Larissa informou que a diretoria já está analisando os temas das palestras do Caetano</t>
  </si>
  <si>
    <t>https://cdn.bitrix24.com.br/b19630473/main/441/441e00e8007c11afe627b9ddd8d49bd6/a888285f29ccf34e9d21f4cb7886b22a.pdf</t>
  </si>
  <si>
    <t>Decisão será ainda esse mês, convenção será dia 07/02</t>
  </si>
  <si>
    <t>Proposta encaminhada, não teve reunião, a diretoria irá analisar e solicitará uma reunião com o Caetano</t>
  </si>
  <si>
    <t>Fecharam com outro palestrante</t>
  </si>
  <si>
    <t>Larissa</t>
  </si>
  <si>
    <t>Costa Ribeiro</t>
  </si>
  <si>
    <t>Power agro 12h - Nervis Insumos Agrícolas</t>
  </si>
  <si>
    <t>Nervis Insumos Agrícolas</t>
  </si>
  <si>
    <t>Empresa que atua na assistência técnica e vendas de insumos agrícolas e pecuária, focada no município de Rondinha</t>
  </si>
  <si>
    <t>6 pessoas na estrutura comercial</t>
  </si>
  <si>
    <t>Fez o power agro a convite da Diamaju e queria replicar pra sua equipe, porém queria mais detalhado, visto que a aplicação com a Diamaju foi em 1 dia</t>
  </si>
  <si>
    <t>https://cdn.bitrix24.com.br/b19630473/main/fb0/fb0b1c55a814485599b25a914462d9e6/bd9a16ea49f5135f6675604f68fba615.pdf</t>
  </si>
  <si>
    <t>Estou cotando os custos logísticos para o cliente</t>
  </si>
  <si>
    <t>Um dos sócios retornou de férias e solicitou que "segurassem" o investimento no treinamento, pois irão realizar um treinamento junto com a equipe de uma empresa parceira, assim reduzem drasticamente o custo</t>
  </si>
  <si>
    <t>Darlei</t>
  </si>
  <si>
    <t>de Rocco</t>
  </si>
  <si>
    <t>Rondinha</t>
  </si>
  <si>
    <t>Vendas consultivas</t>
  </si>
  <si>
    <t>Koerich</t>
  </si>
  <si>
    <t>luanb@koerich.com.br</t>
  </si>
  <si>
    <t>É uma empresa com foco no Varejo, mais de 130 lojas em SC e atuante em e-comerce no PR e RS</t>
  </si>
  <si>
    <t>Possuem uma equipe de 6 vendedoras que auxiliam com dúvidas e fechamento de quem entra no e-comerce e não compra por lá.</t>
  </si>
  <si>
    <t>Estão sem força de vendas. Muito apáticas e não batem metas.</t>
  </si>
  <si>
    <t>Ainda em análise interna</t>
  </si>
  <si>
    <t>https://cdn.bitrix24.com.br/b19630473/main/33f/33fc222493f54c696c24dec0df889b77/f883f29ba9de9c5edabd2c99a7a6524b.pdf</t>
  </si>
  <si>
    <t>Anotações da reunião "Alinhamento de necessidade VendaMais &amp; Koerich" Estas anotações foram enviadas para convidados da sua organização. Abrir ata da reunião O conteúdo foi gerado automaticamente em December 19, 2025, 11:21 AM GMT-03:00 e pode conter erros. Resumo Luan Bordignon | Koerich e Rafael Bortoloso iniciaram a reunião para discutir as dificuldades da equipe de tele-vendas do K em atingir metas, com Luan Bordignon | Koerich explicando que a gestora, Cris, percebe que a equipe age mais como "pessoas que tiram um pedido" do que como "vendedores", atendendo clientes que já iniciaram contato no e-commerce. Rafael Bortoloso identificou que o processo atual, de natureza passiva, contribui para a baixa conversão e, consequentemente, recomendou que a primeira opção de solução fosse mentoria e treinamento focados na equipe de seis vendedores e sua líder, descartando a consultoria inicial. Rafael Bortoloso se comprometeu a enviar uma proposta com três planos distintos até o final do dia, conforme solicitado por Luan Bordignon | Koerich, e ambos concordaram que a mentoria personalizada seria a mais apropriada para a equipe jovem e com estilo de vendas não tradicional. Próximas etapas sugeridas Luan Bordignon | Koerich irá marcar um outro momento para falar com a pessoa da área comercial que não conseguiu comparecer à reunião atual.</t>
  </si>
  <si>
    <t>Falta de treinamento e alinhamento</t>
  </si>
  <si>
    <t>Sim. Precisam organizar o PDL</t>
  </si>
  <si>
    <t>Processo comercial em geral</t>
  </si>
  <si>
    <t>Análise da proposta pela diretoria e retorno com aprovação ou não</t>
  </si>
  <si>
    <t>Empresa completamente desestruturada e sem cultura de treinamento. Possuem somente 6 vendedores e qualquer treinamento fica com um valor fora para eles.</t>
  </si>
  <si>
    <t>Luan</t>
  </si>
  <si>
    <t>Bordignon</t>
  </si>
  <si>
    <t>Fontana</t>
  </si>
  <si>
    <t>fernanda.dannenhauer@gmail.com</t>
  </si>
  <si>
    <t>Empresa Química com foco em fabricação de produtos de limpeza</t>
  </si>
  <si>
    <t>Mais de 100 pessoas</t>
  </si>
  <si>
    <t>Deseja soluções para convenção de vendas que acontecerá em janeiro ou fevereiro de 2026</t>
  </si>
  <si>
    <t>Fernanda está voltando de férias hoje e dará andamento a proposta junto a empresa</t>
  </si>
  <si>
    <t>https://cdn.bitrix24.com.br/b19630473/main/4c4/4c4352b8f716fd417ef73be4e030b98d/380a414731bdcf33cc5b5ef38ade636c.pdf</t>
  </si>
  <si>
    <t>Vendópolis + Palestra (facilitador VM)</t>
  </si>
  <si>
    <t>Por falta de verba a convenção não será mais realizada, irão continuar realizando os treinamentos individuais e irão reunir a equipe em um outro momento</t>
  </si>
  <si>
    <t>Fernanda</t>
  </si>
  <si>
    <t>Dannenhauer Borcati</t>
  </si>
  <si>
    <t>Consultor Técnico Comercial</t>
  </si>
  <si>
    <t>Produtos de Limpeza</t>
  </si>
  <si>
    <t>Encantado</t>
  </si>
  <si>
    <t>Supermax</t>
  </si>
  <si>
    <t>JORGE@SUPERMAX-BRASIL.COM</t>
  </si>
  <si>
    <t>A Supermax é um dos maiores fornecedores de luvas do Mundo com sede na Malázia.</t>
  </si>
  <si>
    <t>Possuem 12 vendedores divididos em telemarketing e consultores</t>
  </si>
  <si>
    <t>Já fazem treinamento com a gente e estão analisando a consultora da GGV. Como estão em pleno relacionamento, pediram uma proposta nossa.</t>
  </si>
  <si>
    <t>https://cdn.bitrix24.com.br/b19630473/main/80a/80a333f25e2ef410bce2c43db733a6b4/50dee0adf4b7db7d3a9f91e612615f2b.pdf</t>
  </si>
  <si>
    <t>Possuem 1 diretor e 1 coordenadora de vendas.</t>
  </si>
  <si>
    <t>Falaram que vão organizar a casa pois mudou muita coisa no mercado dentro do final do ano. Estão fazendo o treinamento e sabem da necessidade da consultoria. Estão analisando de começar no segundo semestre ou 2027</t>
  </si>
  <si>
    <t>Jorge</t>
  </si>
  <si>
    <t>Marcks</t>
  </si>
  <si>
    <t>Equipamentos Médicos</t>
  </si>
  <si>
    <t>Megadan Broker Nestlé - Treinamento/Consultoria</t>
  </si>
  <si>
    <t>Megadan Broker Nestlé</t>
  </si>
  <si>
    <t>pablo@megadan.com.br</t>
  </si>
  <si>
    <t>São um canal de vendas e distribuição da Nestlé no Noroeste Paulista</t>
  </si>
  <si>
    <t>47 vendedores externos e 5 supervisores</t>
  </si>
  <si>
    <t>Vieram em busca de um auxilio externo para escalar o crescimento que vem de 2025 em 2026 também</t>
  </si>
  <si>
    <t>Pablo informou que está alinhando com o Michael as ponderações para retornar com e marcarmos a nova agenda</t>
  </si>
  <si>
    <t>Tanto eu quanto o Eryclys tentamos contato com o Pablo, sem sucesso</t>
  </si>
  <si>
    <t>https://cdn.bitrix24.com.br/b19630473/main/fec/fece66e776510a8ea06ffc395bfacc8a/93f0a0f2aa0af25018f97c9ae38d0ed6.pdf</t>
  </si>
  <si>
    <t>Michael me respondeu e hoje as 14:00 vou ligar para ele e ter um feedback em relação a proposta apresentada.</t>
  </si>
  <si>
    <t>Realizei a reunião com Michael e ajustamos o foco do diagnostico para as Lideranças e Time comercial. Vou enviar essa nova proposta para ele avaliar e entrarmos nas negociações de valor.</t>
  </si>
  <si>
    <t>0:00] Marcelo C.: Bom dia [0:02] Pablo V.: Bom dia Marcelo, tudo bom? [0:03] Marcelo C.: Bem e você? Como é que tá? [0:05] Pablo V.: Tudo ótimo obrigado Marcelo por Eu acho que eu tô atrapalhando tuas férias, mas a gente é vendedor é 24 por 7, né? [0:13] Marcelo C.: Não tem não tem isso. A minha sorte é Karen tá mandando mensagem agora que também está numa reunião lá, aí eu tô aqui na casa do meus pais meio improvisado aqui, mas vamos embora então. [0:23] Pablo V.: Beleza, obrigado pela pela compreensão aí. [0:27] Michael M.: Bom dia Marcelo. [0:28] Marcelo C.: Bom dia tudo bem? [0:30] Michael M.: Tudo joia. [0:31] Marcelo C.: Tá bom. [0:35] Pablo V.: O Marcelo vamos até para aproveitar teu tempo aí. Que a gente a gente tá no meio aqui num debate falar um pouco do nosso nosso amigo da Nestlé. Então a gente tem uma operação que a gente atende todo o noroeste Paulista. E a gente tá enfrentando algumas dificuldades aí o mercado. Se reinventando cada vez mais e o nosso time devendo a gente sente que eles têm alguns vícios ainda daquele modelo antigo do segmento alimentício que era um só trabalhava com verba tudo era preço o preço preço e o mercado vem mudando em algumas. e algumas modalidades a gente vê que o nosso time tá ficando defasado, o nosso time muito preso ainda dos itens High pulga da Nestlé não tá sabendo trabalhar os pilares de Mix que a gente precisa e o que que a gente entende que A gente precisa investir nesse time para o ano que vem, o que que a gente acredita que seja as plataformas mais assertivas a parte de curso e a gente quer entender também se vocês fazem algum trabalho de consultoria isso aí que a gente gostaria de entender um pouco mais. [1:45] Marcelo C.: E a gente muitas vezes coloca esses Pilares para funcionar juntos, né? Porque não adianta a consultoria se a equipe não tiver ou se a liderança não tiver alinhada para executar aquilo que tem que executar geralmente a gente começa pela liderança e desce para equipe, né? É porque é rotina de liderança que faz o processo acontecer de verdade, né? Então isso é uma coisa que a gente acredita muito na vida mais e não adianta a gente capacitar a equipe ou dar uma consultoria se a equipe de liderança não tiver pronta para a gente então. Sempre trabalho dentro desses dois processos, a gente trabalha muito a gente trabalha com vários distribuidores aí pelo Brasil consultoria treinamento. Esse é uma parte importante do nosso trabalho e mesmo quando a indústria a lógica muitas vezes é parecida com a distribuidoras com menos complexidade, né? Mas com outras complexidades na verdade. Então a gente sim faz isso. A [2:49] Marcelo C.: gente tem um processo na vida a mais que a gente tem um diagnóstico comercial e esse diagnóstico para nós ele é muito importante, né? Porque ele entra na empresa, ele dá uma analisada em tudo estrutura de liderança a equipe comercial análise de dados análise de carteira de clientes e baseado nisso a gente propõe uma régua de soluções algumas vezes essas soluções são feitas com a gente outras vezes não mas é para nós isso é muito importante porque Vira e Mexe a gente a gente tá com fazendo um trabalho com uma distribuidora É no sul aqui que é o doso tá? A gente tá fazendo um trabalho com eles lá. E a gente foi chamado para resolver um problema quando a gente entrou lá depois de três meses a gente viu que o problema era outro que não era aquele problema que foi para resolver e pô, perdemos três meses e ele perdeu três meses, né? Então aí quando a gente descobriu, qual é o problema a gente teve que fazer análise da dimensão daquele problema. E aí ou perdeu um tempo mais do que precisaria perder então a gente gosta muito de trabalhar nessa metodologia que é primeiro diagnóstico depois do diagnóstico que a gente senta e fala assim porque às vezes por exemplo vou explicar um negócio para vocês. A gente tem uma uma indústria que tem várias distribuidoras pelo Brasil e a gente viu que o problema deles estava bem concentrado certo na liderança, tinha um problema muito sério de liderança ali dentro e que envolvia remuneração envolvia tudo muitos capeis que eram capaz da empresa não eram capaz da liderança. E aí cara é uma um negócio. [4:22] Marcelo C.: doído [4:23] Pablo V.: delicado [4:24] Marcelo C.: É e eles tinham cinco cabeças fundamentais dentro da empresa e que não e só cinco cabeça só dois estavam na mão da liderança dois eram indicadores de remuneração na sexta indicadores dos líderes e a gente olha e falou assim enquanto não resolver isso daqui pode fazer o que for que não vai resolver. Porque no final das contas eles vão fazer o caminho melhor para ele, então isso o diagnóstico pega e aí em seguida do diagnóstico, a gente vem com o próximo passo. Não adianta a gente fazer tudo ao mesmo tempo porque não funciona, né? Então essa história da Consultoria é uma coisa que a gente tenta evitar um pouco o processo da Consultoria tradicional, sabe entra aqui para resolver um monte de coisa ainda aqui para ajudar em uma coisa de cada vez. Eu acho que é muito mais eficiente contratos menores resolve próximo passo resolve o próximo passo porque não adianta resolver tentar resolver tudo porque no final das contas a coisa não não tem eficiência necessária, né? E fica sempre lacunas, né, então. Sim a gente faz consultoria. Sim a gente faz treinamento, mas eu sempre sugiro começar pelo diagnóstico, sabe acho que o diagnóstico que impacta bem. [5:36] Pablo V.: Tá e Marcelo e para a gente evoluir um pouco mais para poder entender esse escopo de trabalho de vocês. Tem uma proposta já formada para essa primeira etapa de Diagnóstico, aí depois a gente vai avançando. [5:49] Marcelo C.: O diagnóstico ele eu vou falar aqui de boca, né? Porque para você diagnóstico é o processo que dura em média três meses, mas a gente começo de ano agora a gente tá tranquilo, por exemplo a gente conseguiria fazer em dois meses, né? A gente tem base em São Paulo, né? Então aí a região uma região que a gente tá muito perto. A gente tem base em Curitiba, tem base em São Paulo e a gente tá muito perto daí né? Conhece bem. E então assim o diagnóstico seria uns dois meses. Quem sabe por você estar numa região mais [6:22] Marcelo C.: concentrada poderia ser um pouco menos mas é dois meses o diagnóstico a gente analisar alguém aqui a gente faz uma análise de remuneração a gente faz uma análise de Tecnologia. A gente faz a análise do organograma, porque é uma coisa muito louca, pode parecer bobagem o que a gente mais vezes viu de organograma dentro das organizações, porque às vezes a gente cresce, cara e torce tudo e é normal. A gente também torce na vida mais quando você vê tem. [6:53] Pablo V.: A gente tá rindo porque ontem o Michael nosso gerente executivo da unidade, a gente se apresentou tá? Desculpa. Nossa a nossa indelicadeza o Gustavo faz a parte mais estratégica comercial e eu sou um comercial mais de campo e depois a gente tem gerente supervisor tem tudo isso aí. E ontem mais que a gente tava discutindo. Porque a gente tá reformular o nosso organograma e a gente chegou no impasse que a gente não tá discutindo uma pessoa e a gente precisa encaixar ela dentro quando é o contrário, né? [7:28] Marcelo C.: exatamente É engraçado porque quando eu falo o cronograma Às vezes a empresa torce o nariz. Fala p**, que coisa mais básica é muito comum torcer. Enfim teve uma empresa grande aí no Brasil que a gente tem várias unidades pelo Brasil, ele sabe completamente torcendo. E aí quando ele falou que ia fazer? aqui na nossa carteira que a gente precisa pensar e outra coisa importante pra gente é canais de vendas. Isso é muito importante porque eu não sei como é a estrutura de vocês, mas às vezes a gente fica muito no todas. A gente tá passando por isso assim, né? A estrutura toda muito focada em canais de vendas [8:25] Marcelo C.: já consolidados e tá mudando esse processo. Aí a gente precisa entender um pouco de canais mesmo. Deixa entender um pouco de vocês. Vocês têm equipe comercial no campo que outros canais vocês têm. [8:36] Pablo V.: Nós temos aí 47 vendedores externos. Então, nós temos equipes de que acalti que atendem os grandes, né? Os maiores temos equipes de varejo. Temos equipe especializado em canal Farma, né? Então a gente tem equipe especializado na linha professional Nestlé que é uma linha para culinária profissional. Então a gente tem atende todos esses canais, né? A gente tem 47 empreendedores divididos em seis equipes. Nós temos aí seis gestores de vendas de previsão de vendas. vendas. [9:17] Pablo V.: Marcelo sobre canal de venda a gente atende desde o do bar do Zezinho na esquina com display da Kit Kat até grandes contas de varejo Regional, a gente não atende as contas nacionais Atacadão Carrefour essa esse daí são atendidos pela direta. O restante a gente atende todo mundo então a gente é Super uma capilaridade muito grande tá falando aí de 4 mil clientes ativos com compra todo mês. [9:45] Marcelo C.: E vocês têm que comer alguma coisa assim ou não? [9:50] Pablo V.: Temos temos nós temos nós temos a o sistema homologado é o único sistema que nós podemos usar que é muito homologado que faz interação com essa p. Então esse sistema ele tem a força de vendas no celular que faz integração com o sistema aqui dentro a gente tem ferramentas de Bia e a gente tem tem indicadores, né? Essa parte a gente tem que entender o nosso negócio a gente é e não é uma [10:14] Marcelo C.: Com certeza [10:19] Pablo V.: distribuidora. Porque como o sistema broker. O que que a gente é a gente é um representante comercial da Nestlé e a gente também faz a parte de operação logística para Nestlé, então todo o estoque que eu tenho aqui é da Nestlé, então eu sigo o bumbo que é batido pela Nestlé. Só que mesmo assim eu seguindo esse mundo para Nestlé, eu entendo que a gestão a qualificação e otimização da minha força de vendas é uma tarefa minha e não da companhia. É muito grande, né? Então portfólio muito extenso com várias metas vários objetivos, né? Então você conseguir. Ver se isso lá na ponta do vendedor para ele conseguir entender porque ele conseguir fazer um planejamento que seja eficiente ele alcançar tudo aquilo que a companhia cobra eu acho que é Um Desafio porque são várias empresas dentro de cada B1, tem sua meta cada B1, cobra algumas objetivos, né? Então imagina que canalizar tudo isso e colocar na mente. [11:24] Marcelo C.: É importante isso e a gente olha também canais de vendas assim não só canais é como modelo de venda, né em sites essas coisas todas, né? É porque hoje em dia tá tudo muito complementar, né? Então a gente olha para isso com muita atenção também no diagnóstico, muita gente, olha a remuneração a gente olha obviamente a gente faz um raio-x da empresa toda área comercial e a gente sai com líderes na rua. Vai para Campo não é assim. Ah de balcão não a gente vai um consultor nosso você tá junto com o cara faz dia de Campo junto é entrevista todos os gestores de vocês entrevista. Vocês também é bem completo. O processo é no final dá um relatório de uma série de tantas páginas até controlo para não estourar demais isso mas para nós é super importante, sabe porque você não é tipo chegar no médico toma isso. p***. Às vezes a gente não sabe o que é que tem que fazer de verdade, né então [12:21] Marcelo C.: propõe. Nho que a gente faça esse diagnóstico. Eu sei que dá a sensação que a gente tem aquele atraso um pouco começo, mas na verdade para nós ele adianta o começo, sabe? E aí quando a gente vai a gente vai exatamente onde tem que agir e se a gente falar de capacitação de Treinamento começo é sempre por líderes como eu falei para vocês é sempre não adianta treinar a equipe. Isso é gestão não tá alinhada. Essa gestão não tá fazendo negócio acontecer como deveria acontecer então então a gente Preciso olhar para a gestão aí e trabalhar com termo de capacitação então basicamente é esse o processo acredito que dois meses a gente consegue matar por você estarem numa região, né? Às vezes a empresa Nacional, tem que o Brasil inteiro vocês estão locais, então é mais tranquilo a gente fazer esse trabalho eu começaria por aí é sinceramente poderia falar um projeto maior, mas eu acho bobagem, mas acho melhor. E fazer isso de uma maneira mais mais estruturada. [13:19] Pablo V.: Beleza acho que é para aí também, a gente acredita muito nisso que ele também fica essa parte de Diagnóstico é importantíssimo, se não a gente vai chegar vai dar tiro para tudo que é lado e aí te ajudando, mas agora o GAP agora é aquele então a gente prefere ser mais conservador num determinado aspecto. Como investir realmente não? Diagnóstico bem feito para ser mais assertivo depois não no remédio que a gente tem que usar Marcelo eu acho que consegue enviar para nós até o início do ano. uma proposta de trabalho [13:54] Marcelo C.: Enviar e vou apresentar mesmo para vocês não sou a pessoa mais adequada para [13:57] Pablo V.: tá [13:58] Marcelo C.: fazer apresentação apesar do diagnóstico, mas sim consigo enviar para vocês consigo apresentar junto com vocês aí para a gente fazer esse processo aí e tenho certeza que que vai ser legal, eu lembrei a gente eu fiz palestra tava conversando com o distribuidor eles autorizadas nesse trem lá atrás faz muitos anos, né? [14:20] Pablo V.: Tu já fez um curso dele, né? A gente a gente participou de um V6 o cameloro a [14:24] Marcelo C.: É por aí, cara, faz muitos anos já eu fiz palestra lá para o distribuidoras autorizados Nestlé. Então já vou estar. [14:36] Pablo V.: gente foi participando e nós aqui a diretoria a gente participou com Raul [14:45] Marcelo C.: Legal. E aí, Rio Preto, a gente tem uma Ana do segegente, ela é a nossa [14:45] Pablo V.: algumas vezes. [14:51] Marcelo C.: parceira ou ela não era nossa parceiro local, a gente tá com processo de algum alguns parceiros que há muitos anos. Tão junto com a gente então a Ana disse gente e a pessoa que nos que nos representa aí na região assim uma pessoa super especial. [15:06] Pablo V.: Toda toda a nossa gestão faz curso. A Ana é amiga particular da minha esposa então a gente tem um relacionamento bem legal e eu conheço a o projeto de vocês porque eu acompanho agora faz tempo que eu não assisto um podcast que eu achava maravilhoso, você fazer um pessoal do Marcos. [15:27] Marcelo C.: Já tem um ano mais eu o Raul toda semana, a gente tem podcast da Vida. Mais também vai lá acompanha lá porque também pô super super legal assim o médicos mais focado para a empresa que tem representante comercial, né? Mas também muito bom e agora a gente tem o da Vida. Mais também tem bastante coisa legal lá é a vida da gente, né? [15:52] Pablo V.: A última vez que eu participei acho que você tava no Sesi vocês vieram uma [15:55] Marcelo C.: Sim, sim, faz um faz. [15:56] Pablo V.: vez fizeram apresentação no teatro. Mas há uns anos já né? Eu só tenho uma barba branca para combinar com a camisa, mas eu sou super jovem. [16:11] Marcelo C.: Cara eu tô passando um trauma Às vezes as pessoas me contam. Vai pegar. [16:25] Pablo V.: Não cara, a gente que agradece. Aí eu tô disponibilidade de nos atender aí a [16:26] Marcelo C.: Bem isso mesmo. Então, a gente tá aí com a parceria com também uma consideração muito grande, então começo do ano já apresenta isso para vocês. Peço desculpa por apresentar agora todo mundo de fé. [16:43] Pablo V.: gente sabe que a gente está no período de recesso aí. Mas a gente continua trabalhando que a gente está fazendo planejamento estratégico orçamentário, a gente também quer fazer um planejamento comercial e a gente identificou que sozinho hoje a gente não consegue desenvolver porque ainda tá preso numa parte operacional o nosso grupo tá crescendo e a gente tem uma outra operação de distribuição de repente. Mas a gente pode falar um pouco sobre esse negócio também e sabe a rotina comercial acaba sendo sugado. Não é o rolo compressor na parte operacional quanto o vento tá na Linha de Frente vendendo só falta carregar o caminhão, né? O resto tá fazendo tudo. tudo. [17:21] Marcelo C.: Deixa eu perguntar como é que foi o ano para vocês? [17:24] Pablo V.: Bom não foi ruim não a gente cresce aí dois discos em relação ao ano passado. Conseguiu uma boa performance, né? Também melhorou muito na gestão da Nestlé, né? Veio um rege um red de canal um cara que olhou para cabelo resolveu para Rede Globo, né? Então a gente teve competitividade, né nos preços, né? Então foi um ano bom não foi um ano ruim não. [17:58] Marcelo C.: Quem conseguiu crescer um pouco mas não atingiram as metas? atingiram as metas, né? E Mix é uma Mix é uma sinuca enorme assim é um problema enorme porque as [18:07] Pablo V.: O que que a gente entrega então só para te ter uma um overview aqui na nossa operação comercial a gente entrega em 12 D12, entregamos todos os meses a gente trabalha nesse Ele trabalha com patamar de metas que é mínimo meta ideal, eu acho que uns seis últimos meses a gente atingiu quase o ideal praticamente todos os meses então a gente acima da meta, só que mesmo entregando toda essa performance tem um crescimento duplo digito, foi o que há 15% Marcelo foi o que a Nestlé nos pediu, o que que a gente enxerga? Que o ano que vem vai ser um ano que ele vai bater muito forte na questão de mix de produto. Para aumentar a participação de share e a gente entende que o nosso time ainda não tem essa maturidade. Para chegar na ponta e realmente apresentar um mix de produto um sortimento diferente, eles estão ainda naquilo que a gente chama de high Puke é os principais itens e a gente entende que a companhia a gente tem agora convenção final de janeiro a companhia vai voltar nos dois distintos, eu acho que de repente a minha filhinha tá chegando de 15 a 20. . Então a gente entende que a gente tem que estar preparado para isso a gente tem fazendo investimento muito forte para crescer na companhia a gente investe num prédio próprio a gente tá num prédio alugado, só que a gente entende que a parte de infraestrutura tem que tem que haver investimento, só que tem que havia investimento no material humano que são as pessoas que vão nos entregar o número, né? O prédio não vai me entregar p** nenhuma, não vai me entregar só uma parte estrutural. Eu preciso da p** do número no final do dia. [19:46] Marcelo C.: empresas estão lançando muito produto, né? Porque assim é brutal que as empresas de produto e tem que lançar, mas a gente tá difícil equalizar isso na chegada lá no ponto de venda, né? É muito produto novo é muito muita variação de produto muito sk1 novo e esse é um Desafio enorme assim das empresas mesmo Mix, tem sido um grande desafio. A gente trabalha na parte de gestão de produtos de algumas empresas. E aí é isso? Você lança o produto e ele não entra lá no ponto de venda, né? E aí é uma é um mix de canal de Enfim, porque só jogar esse peso na mão do vendedor lá na ponta é muito peso também, a gente precisa achar maneiras de fazer o produto chegar lá que o vendedor seja aponta, mas tem que chegar por outros modelos também porque senão fica muito muito pesado e o vendedor. Tem um limite, né? Eu tenho. [20:37] Marcelo C.: Eu fiz um estudo sobre mix de curva de saturação de mico. Chega uma hora que você começa a dançar mais produto e ele para de vender. E é engraçado, daí quanto mais produtos você coloca na mão do vendedor ele começa a crescer a venda de produto cara. E é uma coisa que a gente tem visto a acontecer muito nas empresas todo mundo lançando muito mas não crescendo a venda na proporção que tá lançando isso gera vários gargalos, né, financeiro estoque desenvolvimento de produto tudo isso então esse é um Desafio super importante aí que a gente tem que tem que analisar caso a caso para ver como é que como é que ajuda, aí tem sido de várias empresas. Para mim. [21:21] Michael M.: Mesma sala é muito interessante esse ponto de vista que você colocou a gente a gente sabe que nesse livro como qualquer outra multinacional. [21:28] Pablo V.: qualquer [21:33] Michael M.: Só um minutinho Marcelo. [21:35] Marcelo C.: Tô vendo com bastante Eco ainda. Beleza, agora sim. tá [22:08] Michael M.: Só um minutinho. voltando aqui no nossa, conversa e a gente percebe que que a Nestlé assim como qualquer outra multinacional, ele precisa renovar os produtos precisa ter sempre esse viés de inovação, porque senão cai né no declínio do ciclo de vida da das empresas e Muitas vezes o vendedor ele se sente perdido porque ele não sabe como introduziu o produto e a gente simplesmente pega um banner, né? Pega um banner eu pego uma arte, né? Que é nesse passo alguma coisa. Toma Nescau 20% grama é 20% de 20 gramas de proteína. Né? Vamos vender preço é esse e tal. Vamos para cima é assim que funciona tem toda uma questão de layotização do produto que tem que ser exposto tem que ser explicado para os clientes. Marcelo obrigado pela atenção Boas festas para ti. [23:58] Marcelo C.: Obrigado igualmente para você. [23:59] Michael M.: Voltar para vida real de vendas. obrigado E aí o que que acontece a gente vai tentar tracionar essas inovações a gente coloca um sentido, olha, vamos lá para cada tantas positivações esse produto a gente acaba a gente acaba soltando alguma coisa, mas financeira e para que a gente acaba sendo pressionado então para deixar para reduzir a pressão da outra parte, né por fazer. Com que a execução aconteça a gente vai lá e coloca? O dinheiro para para poder girar o negócio esse é um incentivos internos nossos e a gente sabe que a gente acaba nem calculando ódio isso não sabe nem o que a gente só quer retirar a pressão só. E a gente sabe que não é assim que funciona a gente precisa a todo momento assim nas reuniões, geralmente a gente fala sobre isso, mas gente eu explico sobre o ciclo de vida do produto porque que é importante a empresa sempre tá? Inovando buscando novos nichos, né para porque lá que tem dinheiro Novo. E Lá onde a gente vai se renovar e a empresa vai sustentar algumas não vão dar certo natural, mas outras vão substituindo categorias anteriores e vai buscando adaptação adaptar o mercado e às vezes o vendedor acha que é mais um trabalho mais um problema mais. De segurança é já basta cobrança que tem do volume das coberturas. Tem que cobrir também positivar produtos que são zero lactose, menos gordura e etc. aí vai né? [25:48] Michael M.: Então assim e aí a gente percebe que a talvez. eu acho que é mais rápida para reduzir a pressão a curto prazo, mas a Médio prazo longo prazo, a gente sabe como funciona o que a gente precisa é no final das contas e dos Setor Novo para ter uma absorção e uma uma Melhor retenção de conhecimento porque não é fácil conduzir as coisas aqui, né? Pessoal não é fácil é um vendedor absorvendo isso e quem tá conosco e já entendeu e trabalha jamais de 20 anos com a gente vai embora, só que aquele que começa já tá no terceiro quarto quinto mês aí ele fala o que eu vou é ser frentista de posto. [26:55] Marcelo C.: Você falou uma história parece história de vendedor que eu vou botar eu moro em Florianópolis, tem um mercadinho perto da minha casa e esses dias eu fui no mercado e aí eu fui e peguei o Nescau com com proteína. E aí eu peguei botei no balcão e ele é um mercadinho daqueles mercadinho de bar, Florianópolis, é caro o bairro que eu moro é mais caro. E esse é o mercadinho o cara do pai, mas é aquele que separa o carro na frente pega. E eu peguei só eu peguei o Nescau fui passar no caixa a menina olhou para mim e falou assim, você viu o preço disso? A menina do Cachaça e aí eu vou falar para você, eu ia passar o cartão sem nem ver o preço assim porque meu filho tá com os amigos em casa. Não sei o quê. Aí ela falou bem assim, eu nem vou deixar o senhor levar olha que louco cara, ela falou isso para mim no caixa e aí eu peguei a hora que eu vi o preço é r$ 40 lá no 40 e pouco, eu olhei e falei não tem outra ela falou assim não não agora só tem esse p*** tudo errado, né? Ela não tinha entendido ela não entendeu nada e aí ela olhou e achou super cara transferiu isso para mim e eu acabei que não levei aí eu fui no mercado perto de casa. Comprei um Nescau e aí Levei para casa. Então veja que da cadeia inteira desestruturou ali, né? Porque porque só que [28:15] Marcelo C.: nessa loja por exemplo nesse mercadinho vende essencial, por exemplo. Né vender. Já achocolatados com proteínas super caros, então assim tava tudo [28:20] Michael M.: é [28:24] Marcelo C.: errado, né? O produto estava mal posicionado a menina do caixa, não entendia nada e eu também. Concurso não de verdade não tinha ouvido falar do produto. Enfim, acabei inteira bloqueio o produto né, cara? Então eu olhei e falei caramba. [28:40] Michael M.: Só depois você passa o nome do mercado da menina quando a gente Recordar. [28:46] Marcelo C.: Dois irmãos e lá a gente chama de dois ladrões. [28:53] Michael M.: Cara, eu gosto muito dessas ideias, eu gosto muito geral, sabe o que acontece Às vezes o dono da loja dono da do Empório caiu a Internet aqui. [29:05] Marcelo C.: Não a internet tá boa [29:05] Michael M.: A energia vai cair pronto voltou. Acho que tem redundância aqui, né? Você tá me ouvindo bem? [29:17] Marcelo C.: Perfeito perfeito. [29:19] Michael M.: Eu gosto muito dessas histórias, porque geralmente o produto não é para aquela loja, só que o dono Ele é uma pessoa que gosta de fazer uma academia gosta de proteína. Ele vai lá e falou assim não eu quero ter na minha loja, mas ele não sabe se aquilo faz parte do perfil da loja dele. E às vezes pode ser uma situação dessa, né? Aí eu me lembro de uma. Vai cair de novo, aí, eu me lembro de uma de uma. De uma história também que eu fui na loja fui fazer uma visita com vendedor. E esse vendedor ele tava tava com dificuldade para colocar um produto lá. E aí era um produto de também era farinha na Faria lá que tinha lá o [30:04] Michael M.: aveia com 10 gramas de proteína também daí eu vi um monte de banana ali na ilha assim, né de frutas e tal, eu cheguei do lado do computador do lado da loja assim cara, mas Como que você não tem aveia com tantas gramas de proteína? Porque É uma maravilha, você coloca do lado ali das bananas, cara, aquilo chama atenção e eu sempre uso na Minha Casa. Minha filha come aveia com banana ela ama. Ele olhou para mim assim e olhou para o vendedor. Ah, mas o vendedor nunca me ofereceu isso. Nunca ofereceu ou seja, ele não teve o Insight, né de olhar para o negócio também de experimental o produto. Então tem muito disso aqui, às vezes o nosso vendedor não conhece o nosso produto ele vende só ele não compra e ele não acredita no produto ele não ele não faz parte do dia a dia dele, então tem muito disso de dar credibilidade. Quando você leva para venda no campo, cara, se você não consumir aquilo que você tá vendendo, você cai em crédito e credibilidade é um fator fundamental da persuasão da vida. [31:15] Marcelo C.: E hoje em dia né? Esse cara que compra e às vezes o vendedor. mas eu falei para Só que ele falou uma vez, cara e uma vez não adianta vereadores por dia então, ele tem que receber do vendedor do marketing. Ele tem que ser bombardeado por aquilo ali e organizar esse processo de lançamento de produtos. A metodologia de lançamento e das empresas que ele falou gestão comercial, né? Então por exemplo assim tem distribuidor que a gente a reunião então a gente organiza a reunião semanal uma parte resultado uma parte é a capacitação e uma parte lançamento e quem fala do lançamento de produto é o próprio vendedor às vezes entendeu? Então às vezes parece bobagem, mas quando você coloca esse tipo de coisa dentro da estrutura de gestão da empresa isso começa a a girar de uma outra maneira, né, então e tem que achar jeito não tem fórmula, né? Se tivesse era fácil, mas nem seria esse tipo de lançamento na estrutura de gestão da empresa, porque às vezes também a empresa ela tem uma estrutura de gestão, por exemplo, você pega a reunião diagnóstico. E não fala de lançamento na reunião. Ou fala de lançamento de uma maneira muito superficial, né? Então assim pô. Às vezes o cara fala assim. Ah, [32:39] Marcelo C.: então vamos treinar a parte tudo bem, mas veja é a parte fica claro que aquilo não faz parte do processo de gestão da empresa, né? Então a gente tem que ajudar esses caras de alguma maneira organizando a cabeça deles para isso esses dias eu publiquei um vídeo que As sensacional eu fui numa empresa de marketing e o cara chegou e ele tinha na parede dele cara uns 10 calendários anuais é dividido em 15 em 15 dias para cada cliente deles. E assim pô, por exemplo agora voltou das férias, né? O que nós vamos fazer nos primeiros 15 dias repor produto, né? É são 15 dias de oportunidade de reposição de produtos nossos E dos nossos concorrentes que vão deixar lacuna nessas férias coletivas e esses momentos que acontece na empresa quando não tem férias coletiva depois de 15 dias nós vamos fazer isso. Ai que delícia. [33:48] Michael M.: É demais. [33:49] Marcelo C.: É bom demais, né? Enfim colocar. de colocar lançamento [34:14] Michael M.: os rituais de gestão sobre a parte [34:16] Marcelo C.: Ritual de gestão e às vezes então às vezes a empresa fala bem assim. Ah, então a gente tem uma reunião por semana e a gente fala de de produto nessa reunião da semana e a gente faz uma outra reunião para falar de lançamento não. Então faz uma outra reunião de gestão e fala de lançamento nas duas então, às vezes é essa e parece bobagem, né? Mas assim quando você vai ver isso vai tracionando time e vai fazendo. quanto na remuneração do cara, quantos produtos foram lançados nos últimos seis meses que você participou que participou da sua venda. Então veja que são ajustes cara muito apertado para você fazer isso acontecer, né? E a gente sabe margem tá em lançamento, né? [35:13] Michael M.: Com certeza, são os produtos estratégicos hoje, por exemplo, nós temos uma comissão que ela é desmembrada por categorias de produtos então a maior parte dela é em cima de produtos estratégicos são produtos que acabam de ser lançados ou produtos que tem um nicho. Que ela ainda ela ainda está navegando vamos dizer, né? Sem como utilização, né? Que a gente fala achocolatado, né? Como você disse o achocolatado normal. Ele é como ódio você pega todo mundo sabe fazer um achocolatado, mas quando vai para com proteína já é um outro de uma outra particularidade ao outro nicho. E aí ela tem um caráter especial, sabe? A gente a gente trata isso com mais estratégia e para isso a gente precisa pensar com mais clareza com relação a as coberturas dos clientes, qual é o nível de profundidade que a gente vai trabalhar no caso de capilaridade dos clientes? Qual é o volume que a gente tem que buscar? Então nesse sentido com tudo é mais rigoroso, porque é um produto que precisa dar ter visibilidade [36:19] Michael M.: para companhia, porque eles querem saber se realmente foi um produto que está caindo no gosto do Consumidor ou não. A gente precisa expor o produto. Precisa colocar agora a gente precisa fazer com que os clientes experimentem o produto você não conseguiu experimentar o produto a pessoa não deixou. [36:39] Marcelo C.: É muito louco isso, né? Cara, é? [36:42] Michael M.: Não conseguiu. [36:43] Marcelo C.: Tudo errado tudo errado. O processo é engraçado porque o livro e também é um pouco da minha visão assim, né também é um pouco da embalagem dele, não poderia competir com o próprio Nescau, né? Ele já teria que ter uma embalagem mais suplemento, né? Uma cara um pouco mais crível, né, cara? Então assim eu né? Eu tento olhar sempre marketing, né? Fala pô, tá errado esse produto né? Tá muito parecido o outro produto, né, cara? É outra é outra lógica, [37:12] Marcelo C.: né? Faz o produto com a cara do Nescau. [37:15] Michael M.: Mas aí o que acontece Marcelo eu penso dessa forma tá? Às vezes a gente não tem essa informação, tá? Eu tô aqui também com uma lugações, às vezes [37:22] Marcelo C.: Que é menos açúcar 2.0, né? Tem uma coisa dessas né? E eu falo muito sobre [37:25] Michael M.: eles posicionam esse produto porque Possivelmente Está vindo outro com um preço intermediário aí esse outro que vai vir que vai que vai ter. É isso, talvez é isso. Tá, talvez não é nem 15 gramas proteína. Talvez é um outro produto que vem para superar as vezes para esse Point diferente que é achocolatado. É só vai se acostumando com esse preço. [38:02] Marcelo C.: os clientes, né? Que eu acho excelente porque ele faz né? Exatamente disso, né? Se você ficar brigando de igual para igual o que os outros é chocolatado, você vai tomar pau, né, cara? Então você lança o produto Premium ali dentro protege esse produto Premium veja o outro produto com medo de [38:18] Michael M.: isso [38:18] Marcelo C.: Pau ali dentro do mercado e é uma gestão, eu acho Super eficiente assim de de posicionamento. Enfim é um caso bem sucedido aí enfim. Fica falando o dia inteiro aqui, mas a [38</t>
  </si>
  <si>
    <t>Diagnóstico comercial</t>
  </si>
  <si>
    <t>1. Time comercial preso ao modelo antigo de vendas O time ainda atua com forte viés em preço, verba e itens “high pull”, reflexo de um modelo antigo do segmento alimentício. Isso gera dificuldade em trabalhar mix, sortimento e produtos estratégicos, que serão ainda mais exigidos pela Nestlé no próximo ciclo. 2. Baixa maturidade para trabalhar mix e lançamentos Mesmo com crescimento e metas batidas, há clareza de que o time não tem maturidade para vender inovação, novos SKUs e produtos de maior valor agregado. Os lançamentos chegam, mas não “descem” corretamente até o ponto de venda. 3. Sobrecarga do vendedor e perda de foco estratégico O vendedor está pressionado por volume, cobertura, metas múltiplas e inovação ao mesmo tempo, sem um método claro. Isso gera: Resistência a novos produtos Uso excessivo de incentivos financeiros para “empurrar” vendas Baixa retenção de conhecimento, especialmente em novos vendedores 4. Falta de clareza e alinhamento na liderança e no organograma Existe um reconhecimento explícito de que o organograma está sendo ajustado ao redor de pessoas, e não de funções e estratégia. Isso indica possível desalinhamento de papéis, responsabilidades e rituais de gestão. 5. Dificuldade em transformar estratégia em execução no campo Apesar de BI, indicadores e sistemas homologados, Pablo percebe que: A estratégia não chega bem na ponta O vendedor não domina o discurso, o posicionamento e o uso do produto Falta consistência entre marketing, trade, gestão e vendas 6. Operação crescendo mais rápido que a capacidade de gestão A empresa cresce, investe em infraestrutura e amplia operações, mas a rotina operacional “engole” a gestão comercial, dificultando planejamento estratégico, desenvolvimento do time e visão de médio e longo prazo.</t>
  </si>
  <si>
    <t>Não, porém esse início de ano é crucial pois estão definindo o budget</t>
  </si>
  <si>
    <t>Aumento na venda de mix de produtos</t>
  </si>
  <si>
    <t>Irão analisar a proposta na segunda-feira, entre quarta/quinta/sexta faremos uma nova reunião</t>
  </si>
  <si>
    <t>Conversei com o Michael hoje e ele me deu retorno em relação a proposta dizendo que no momento, não vai seguir porque está avaliando outras estratégias para a empresa e solicitou que eu deixasse em aberta a proposta para voltarmos a conversar no inicio do próximo semestre.</t>
  </si>
  <si>
    <t>Pablo</t>
  </si>
  <si>
    <t>Vizzotto</t>
  </si>
  <si>
    <t>Mirassol</t>
  </si>
  <si>
    <t>Distribuidora de Auto Peças</t>
  </si>
  <si>
    <t>Power cooperativismo 1 turma</t>
  </si>
  <si>
    <t>SICREDI ESSÊNCIA RS</t>
  </si>
  <si>
    <t>patricia_osantos@sicredi.com.br</t>
  </si>
  <si>
    <t>Sicredi Essencia é uma cooperativa da Central sul sudeste que atua em RS e MG.</t>
  </si>
  <si>
    <t>Possuem 165 colaboradores na área de negócios.</t>
  </si>
  <si>
    <t>Após apresentação de portfólio, gostaram muito do power cooperativismo. Pediram proposta para 2 turmas em 2026 e o restante para 2027.</t>
  </si>
  <si>
    <t>Ainda em análise e ajuste interno com outras cooperativas</t>
  </si>
  <si>
    <t>Mandei mensagem e e-mail para tentar mensagem com Patricia. Ela está desde dezembro sem responder</t>
  </si>
  <si>
    <t>https://cdn.bitrix24.com.br/b19630473/main/add/add6e543d50affb0dc6200caff47adad/07618e5c30baaca642dab079099831bf.pdf</t>
  </si>
  <si>
    <t>Falta de alinhamento comercial</t>
  </si>
  <si>
    <t>Organização de planejamento 2026</t>
  </si>
  <si>
    <t>Infelizmente esbarremos em preço novamente. Cooperativa nos procura todo ano, gosta muito do conteúdo mas sempre fecha com o concorrente por conta de preço. Na próxima, tentar entrar com um valor mais agressivo.</t>
  </si>
  <si>
    <t>Patricia</t>
  </si>
  <si>
    <t>Oliveira dos Santos</t>
  </si>
  <si>
    <t>Alegrete</t>
  </si>
  <si>
    <t>Programa de treinamento venda recorrente 10 turmas</t>
  </si>
  <si>
    <t>EXPRESSO SÃO MIGUEL</t>
  </si>
  <si>
    <t>julia.soligo@expressosaomiguel.com.br</t>
  </si>
  <si>
    <t>A empresa é referencia em logistica e carga compartilhada no Sul do Pais. Com mais de 25 escritórios e 100 franquias, estão com presença massiva em SP, PR, SC e RS</t>
  </si>
  <si>
    <t>Possuem em média 300 vendedores, divididos em Executivos, Internos, Externos e atendentes</t>
  </si>
  <si>
    <t>Estão reformulando a educação corporativa. Ano passado estruturaram a universidade e esse ano querem uma trilha de desenvolvimento síncrona.</t>
  </si>
  <si>
    <t>Julia falou que estiveram em recesso e estão voltando essa semana. Pediu para dar o retorno mais para semana que vem</t>
  </si>
  <si>
    <t>A proposta foi muito bem recebida pela Diretoria. Estamos em primeiro no momento. A diretoria entro de férias e só volta dia 19/01. Só vão definir após essa data</t>
  </si>
  <si>
    <t>https://cdn.bitrix24.com.br/b19630473/main/b24/b247ae6961b8f8f8d251d5ab714ae13c/bb654ba846c18f2ce9b68c2bc8f9de92.pdf</t>
  </si>
  <si>
    <t>Sem retorno. Estou testando ligações em outros horários. Julia foi muito dedicada e organizada no processo. O não retorno não condiz com a trajetória do atendimento</t>
  </si>
  <si>
    <t>Possuem 50 líderes divididos em modelos de negócios e matriz.</t>
  </si>
  <si>
    <t>Alinhamento de Necessidade VendaMais &amp; Expresso São Miguel Convidados Rafael Bortoloso julia.soligo@expressosaomiguel.com.br Anexos Alinhamento de Necessidade VendaMais &amp; Expresso São Miguel Registros da reunião Transcrição Resumo Rafael Bortoloso e Júlia Soligo se reuniram para discutir a estruturação da educação corporativa da Expresso São Miguel, com foco no desenvolvimento das áreas de Operações e Comercial para 2026, utilizando a plataforma LMS Conviva e treinamento síncrono EAD. Júlia Soligo apresentou a necessidade de um parceiro para a jornada síncrona ao vivo, buscando a expertise especializada para complementar os conteúdos internos de EAD, e detalhou a proposta de grupos de treinamento, dividindo 350 atendentes e consultores em 12 encontros e 113 vendedores e executivos em quatro encontros mais intensos, com turmas menores. Rafael Bortoloso elogiou a organização e garantiu que a Venda Mais pode personalizar o conteúdo para cada público (atendentes, suporte comercial, e vendas/executivos) sem custo adicional, alinhando a metodologia com a cultura organizacional da Expresso São Miguel. Detalhes Tamanho das anotações: Padrão Contexto Inicial e Estrutura da Educação Corporativa da Expresso São Miguel Rafael Bortoloso agradeceu a Júlia Soligo por reintroduzir o contexto da Expresso São Miguel, visto que o contato anterior havia sido há alguns meses (00:00:00). Júlia explicou que a Expresso São Miguel atua no transporte de carga fracionada, possui 25 unidades próprias e mais de 150 unidades terceiras, com o objetivo de dobrar de tamanho até 2030 (00:02:10). A empresa está estruturando a educação corporativa desde 2025, adotando a plataforma LMS Conviva e intensificando o treinamento dos colaboradores com soluções síncronas e assíncronas (00:01:00). Foco de Desenvolvimento e Público-Alvo para 2026 O desafio da Expresso São Miguel para 2026 é fortalecer o desenvolvimento nas áreas de Operações e Comercial (00:03:23). Júlia especificou que o projeto de treinamento foca nos colaboradores de CNPJs próprios da Expresso São Miguel, incluindo matriz e 25 unidades, e que eles não desenvolverão o público das agências terceiras neste momento (00:04:39). O público-alvo inclui vendedores internos e externos, executivos de negócio e atendentes, que são a porta de entrada para os clientes (00:03:23). Necessidade de Jornada Síncrona e Assíncrona Personalizada A empresa está desenvolvendo trilhas personalizadas de EAD internamente, mas precisa do apoio externo para a jornada síncrona ao vivo, que atuará como complemento. A diretoria enfatizou a importância de desenvolver o público comercial com maior ênfase e solicitou que o treinamento não fosse apenas em formato EAD; contudo, por questões geográficas e logísticas, o desenvolvimento será síncrono EAD (00:04:39). Júlia mostrou as jornadas de EAD entregues em 2025 e previstas para 2026, destacando que os conteúdos internos de EAD são mais comportamentais e genéricos, e que a intenção é contar com um parceiro para trazer a "força enquanto especialistas" nos encontros ao vivo (00:08:22) (00:12:30). Diferenciação do Público de Atendimento e Vendas no EAD Júlia detalhou os conteúdos de EAD para os atendentes, que receberam uma base sobre a cadeia de valor e comportamento em 2025, e receberão EADs sobre inteligência emocional e conhecimentos técnicos operacionais em 2026 (00:06:53). Para este público, a parte mais técnica de atendimento e vendas será focada na jornada de excelência no atendimento ao vivo. Os consultores e analistas da matriz, que atendem clientes internos (como gestores de agências terceiras), também serão incluídos nos conteúdos em 2026, embora não tivessem acesso à plataforma em 2025 (00:09:46). Estratégia para Vendedores e Executivos no EAD Os executivos, vendedores externos e internos receberam conteúdo em 2025 de forma mais breve e terão EADs mais técnicos em 2026, incluindo temas como excelência analítica, fundamentos da venda consultiva e análise de mercado (00:11:09). Júlia ressaltou que, mesmo com a produção interna de EAD mais específica para este público, o parceiro estratégico deve trazer "ainda mais técnica" e um "temperinho" especializado na jornada de excelência em vendas (00:12:30). Proposta de Estrutura e Formato das Turmas A estrutura proposta por Júlia divide os grupos para otimizar o aprendizado e o calendário. Para os atendentes, consultores e comercial (cerca de 350 pessoas), a sugestão é um workshop dividido em dois momentos de 3 horas cada, totalizando 12 encontros em turmas de 50 pessoas, com o objetivo de ser um "toque final" para o treinamento (00:13:48) (00:16:13). Para os vendedores e executivos (113 pessoas), a intenção é um treinamento mais intenso, com quatro encontros de 3 horas por turma, em turmas de 25 pessoas, para permitir mais interação e construção de conhecimento, com possibilidade de pré-work e pós-work (00:15:00). Análise da Estrutura Proposta e Nivelamento por Turma Rafael elogiou a organização da Expresso São Miguel e a clareza dos objetivos de Júlia (00:17:19). Ele tranquilizou Júlia sobre a dinâmica de turmas, afirmando que a Venda Mais trabalha bem com turmas de 50 pessoas para o público de atendentes, focando em simulações de "vida real". Rafael enfatizou que a estrutura de 25 pessoas para os vendedores e executivos está alinhada com a experiência da Venda Mais em treinamentos síncronos online (00:18:38). Diferenciação do Perfil dos Vendedores e Foco B2B Júlia esclareceu que os vendedores externos estão totalmente focados no B2B (CNPJ), mas os vendedores internos ainda atendem o CPF em menor escala, embora a tendência seja focar somente em CNPJ, pois representa a maior parte do faturamento (00:19:49). Rafael concordou que o foco é o CNPJ e que os atendentes cuidam das demandas de CPF, que são rápidas e menos lucrativas (00:21:08). Definição de Papéis e Perfil dos Executivos Ao discutir os públicos, Júlia confirmou que os atendentes se encaixam no perfil de primeiro atendimento e "encantamento" do cliente, comparando-os a assistentes de relacionamento ou estagiários em outras instituições (00:21:08) (00:23:11). Sobre os executivos, Júlia explicou que, embora usem esse nome, eles atuam de forma mais estratégica, prestando consultoria e suporte aos vendedores e abraçando os clientes mais importantes, sem ter poder hierárquico (00:24:20). Rafael sugeriu que esse público, por ter uma visão de gestão e ser um possível líder, poderia receber uma preparação diferenciada, como um e-book (00:25:30). Customização de Conteúdo por Público e Metodologia Rafael perguntou se Júlia gostaria de dividir as turmas por público ou aplicar o mesmo conteúdo para todos (00:27:59). Júlia solicitou duas propostas, mas expressou que a personalização por público facilitaria as métricas e seria ideal, se não encarecesse muito o orçamento, permitindo conteúdos específicos para atendentes e para o suporte comercial da matriz (00:28:55) (00:31:32). Rafael garantiu que a Venda Mais já inclui a personalização por turma em seu processo, adaptando o conteúdo para o perfil, linguagem e "vida real" de cada grupo, o que não aumentaria o custo (00:28:55) (00:35:01). A metodologia da Venda Mais inclui um briefing inicial, pré-diagnóstico com autoavaliação, pré-work, pós-work e acompanhamento da gestão (00:33:57). Alinhamento Metodológico e Cultura Organizacional Júlia expressou entusiasmo com a perspectiva de personalização e notou que a metodologia de trabalho da Venda Mais é muito próxima do que a Expresso São Miguel está implementando (00:36:03). Ela ressaltou que a escolha final não depende apenas dela, mas que a Venda Mais já tem uma bagagem positiva com a diretoria (00:37:17). Além disso, Júlia fez uma consideração importante sobre a cultura conservadora da Expresso São Miguel em relação à tecnologia, solicitando que não abordassem temas como inteligência artificial, pois a companhia pode não ter as ferramentas de apoio ou o foco voltado para análise de dados neste momento (00:40:59). Rafael confirmou que o conteúdo é desenvolvido a quatro mãos para garantir o alinhamento cultural (00:42:23). Próximos Passos e Agendamento Júlia solicitou prioridade na proposta, pois a próxima reunião com a diretoria será em 6 de janeiro. Rafael se comprometeu a apresentar a proposta já na quinta-feira, às 10 horas da manhã, utilizando o Teams para a reunião (00:38:27). Júlia enviará o material de contexto no WhatsApp de Rafael . Próximas etapas sugeridas Rafael Bortoloso vai apresentar uma proposta para Julia Soligo na quinta-feira às 10 horas. Julia Soligo vai enviar o material para Rafael Bortoloso no WhatsApp e mandar o link da reunião de apresentação da proposta pelo Teams.</t>
  </si>
  <si>
    <t>Venda Recorrente</t>
  </si>
  <si>
    <t>Julia retornou pedindo desculpas pela demora, o celular dela estava com o T.I e ficaram muitas mensagens e ligações. Ela falou que Diertoria de início aprovou o conteúdo e o cronograma de turmas, porém eles fizera uma fusão e no momento decidiram adiar todos os programas.</t>
  </si>
  <si>
    <t>Julia</t>
  </si>
  <si>
    <t>Soligo</t>
  </si>
  <si>
    <t>Consultor(a) de RH | DHO | T&amp;D</t>
  </si>
  <si>
    <t>Transporte de cargas</t>
  </si>
  <si>
    <t>Maringá</t>
  </si>
  <si>
    <t>Emive&amp;CO - Programa de Treinamento Alto Valor</t>
  </si>
  <si>
    <t>Emive&amp;CO</t>
  </si>
  <si>
    <t>Igor.facella@emive.com.br</t>
  </si>
  <si>
    <t>Empresa especializada em soluções de Segurança Eletrônica e Tecnologia, atuando no B2B e em Grandes Projetos.</t>
  </si>
  <si>
    <t>35 pessoas - estrutura formada por executivos de vendas, responsáveis pela prospecção ativa e gestão das oportunidades, e por analistas de projetos, que desenvolvem os escopos técnicos e suportam a construção das propostas comerciais.</t>
  </si>
  <si>
    <t>Em relação às necessidades de desenvolvimento, nosso time comercial tem como principais desafios: • Aprimorar a disciplina no uso do CRM, garantindo informações completas e atualizadas; • Evoluir na leitura e interpretação dos dados para tomada de decisão; • Aprofundar o entendimento do perfil e do momento de compra de cada cliente; • Fortalecer as competências de negociação, especialmente em projetos de maior complexidade.</t>
  </si>
  <si>
    <t>Igor está de férias, retornará dia 19/01 e a partir desse dia dará sequência com a negociação</t>
  </si>
  <si>
    <t>Encaminhei mensagem para o Igor, o qual voltou de férias no último dia 19/01. Igor informou que a analise das propostas está em seu planejamento e que irá entrar em contato para retormarmos</t>
  </si>
  <si>
    <t>https://cdn.bitrix24.com.br/b19630473/main/eca/eca482f715ed8c4059f580011bb968bf/1891138723f2f2fc134183ac6cb97ee4.pdf</t>
  </si>
  <si>
    <t>Programa de Treinamento de Alto Valor Agregado</t>
  </si>
  <si>
    <t>Igor informou que houveram mudanças internas na empresa, o que fez com que qualquer assunto referente a capacitação seja abordado apenas depois de março</t>
  </si>
  <si>
    <t>Facella</t>
  </si>
  <si>
    <t>Sistema de Segurança</t>
  </si>
  <si>
    <t>Reveste acabamentos - Treinamentos</t>
  </si>
  <si>
    <t>Revest Acabamentos</t>
  </si>
  <si>
    <t>algacir@revestacabamentos.com.br</t>
  </si>
  <si>
    <t>Empresa varejista no segmento de acabamentos, com atuação no</t>
  </si>
  <si>
    <t>Entre 60 e 70 vendedores - 09 gerente 6 unidades: 4 lojas Revest 2 boutiques premium</t>
  </si>
  <si>
    <t>Deseja treinamento para o time de vendas. Melhorar a taxa de conversão, abordagem, relacionamentos e taxa de indicação.</t>
  </si>
  <si>
    <t>Contato realizado com o Algacir, que informou estar avaliando a proposta. Recentemente, ele indicou a VendaMais para um cliente parceiro, o que reforça a boa percepção sobre nosso trabalho.</t>
  </si>
  <si>
    <t>Algacir esta distante dos contatos, evitando ligação, e com desculpas. Mas sigo acompanhando!</t>
  </si>
  <si>
    <t>https://cdn.bitrix24.com.br/b19630473/main/4f1/4f18b12d1e76ee697436063b291594ca/124d87b233a5623e928620105f5f4e38.pdf</t>
  </si>
  <si>
    <t>Contato feito com Algacir, que informou que sua intenção de contratação de treinamento será em março. Convidamos eles para nosso evento do SLS, visto que eles já são clientes e tem recomendado a VendaMais.</t>
  </si>
  <si>
    <t>Passos da Venda- 16h</t>
  </si>
  <si>
    <t>Melhorar a taxa de conversão, redução de desconto e otimizar a venda de mix.</t>
  </si>
  <si>
    <t>Estamos no início do planejamento estratégico anual e, diante de um ano desafiador para o segmento, a capacitação tende a contribuir diretamente para a performance comercial, com foco em melhoria de faturamento, aumento da taxa de recompra e aprimoramento da gestão de carteira.</t>
  </si>
  <si>
    <t>Melhorar faturamento, taxa de recomprar e gestão de carteira.</t>
  </si>
  <si>
    <t>Próximo contato previsto para a próxima semana, após o retorno de viagem do Algacir.</t>
  </si>
  <si>
    <t>Feedback do Algacir sobre as propostas em negociação: Algacir comentou que atualmente já conta com uma empresa parceira responsável pelos treinamentos técnicos de produtos. No entanto, destacou a necessidade de um alinhamento direto com o sócio para validar a contratação do nosso treinamento, com o objetivo de conduzi-lo de forma complementar e em paralelo ao treinamento técnico que já está em andamento.</t>
  </si>
  <si>
    <t>Algacir</t>
  </si>
  <si>
    <t>Scoqui</t>
  </si>
  <si>
    <t>Anaconda - Treinamento Equipe de Supervisores</t>
  </si>
  <si>
    <t>Anaconda Industrial e Agrícola de Cereais S.A.</t>
  </si>
  <si>
    <t>Sergio Pagliarini</t>
  </si>
  <si>
    <t>sergio.pagliarini@anaconda.com.br</t>
  </si>
  <si>
    <t>(41) 99924-0014</t>
  </si>
  <si>
    <t>Anaconda é uma empresa de farinhas de trigo.</t>
  </si>
  <si>
    <t>Treinamento para 12 supervisores</t>
  </si>
  <si>
    <t>Deseja treinar o time de supervisores nos dias 14 e 15 de abril de 2026. O foco deste treinamento dinâmico é desenvolver uma visão orientada à alta performance, fortalecer a gestão da rotina e ampliar a visão 360º do supervisor no PDV.</t>
  </si>
  <si>
    <t>Sergio afirmou ainda não ter a definição para o fechamento deste treinamento. Voltaremos contato sexta feira(12).</t>
  </si>
  <si>
    <t>Sergio informou que, devido às calamidades em São Paulo, a pauta de treinamento precisou ser priorizada em segundo plano. Por esse motivo, alinhamos de retomar o contato para fechamento na primeira semana de janeiro, período em que ele já terá uma definição junto aos demais decisores. Obs.: A empresa não terá recesso.</t>
  </si>
  <si>
    <t>https://cdn.bitrix24.com.br/b19630473/main/7f8/7f819ab9b5a8f68dda64ed0ee0560086/f8a379e8961c457996cbe8d918bc374d.pdf</t>
  </si>
  <si>
    <t>Segundo o gerente Sergio, a companhia mudou a estrategia de encontro, deixando de lado o treinamento.</t>
  </si>
  <si>
    <t>Treinamento Recorrente VendaMais - Kion Group</t>
  </si>
  <si>
    <t>KION Group</t>
  </si>
  <si>
    <t>luanda.prais@kiongroup.com</t>
  </si>
  <si>
    <t>Empresa Multinacional coreana, fabricante de empilhadeiras e sistemas de automação, dentro da holding existem as marcas Linde, Still e Dematic</t>
  </si>
  <si>
    <t>32 vendedores e 16 gestores</t>
  </si>
  <si>
    <t>• Objetivo principal (o que quer alcançar): Objetivo da Kion é dobrar de tamanho nos próximos 4 anos, querem treinar os vendedores para se prepararem para isso. Desejam passar por uma trilha de treinamento que passe desde o reposicionamento pessoal até a transição para uma venda consultiva de alto valor agregado. Desejam que os vendedores se tornem consultores. • Horizonte de resultado desejado: (rápido ≤90 dias | estrutural ≥6 meses): Longo prazo • Público-alvo (quem participa): Líderes; liderados e alta gestão. São 32 vendedores e 16 gestores • Modalidade preferida: (online/presencial/híbrido) e restrições de agenda: Presencial • Trilha de liderados: 7 encontros (32 horas) para cada turma • Trilha de líderes: 5 encontros (20 horas) • Orçamento (se houver) e urgência: • Observações relevantes (CRM/Histórico/Decisor): Desejam 9 reuniões de diagnóstico - Para abraçarem todos os níveis, entendem que serão necessários 9 encontros, entre líderes, liderados e alta gestão. Dividir a trilha dos vendedores em 2 turmas - Total de 32 vendedores (objeto da trilha) e 16 gestores (que devem acompanhar o conteúdo dos liderados) divididos em 2 turmas Trilha de líderes: 16 gestores em turma única</t>
  </si>
  <si>
    <t>Perguntei para a Luanda se a proposta estava de acordo, ela informou que sim. Questionei também se havia acontecido algo com o concorrente, ela disse que não, ainda estão como favoritos, mas não fechou. Segundo a Luanda, ela solicitou uma proposta mais "arrojada" pois por nós estarmos desde o começo no processo ela acha justo "brigarmos" de igual para igual. Luanda é grande influenciadora e quer fechar conosco.</t>
  </si>
  <si>
    <t>Luanda informou que irá verificar com a Camila (sua chefe), se ela já tomou alguma decisão em relação a proposta</t>
  </si>
  <si>
    <t>https://cdn.bitrix24.com.br/b19630473/main/194/19447f588f8db2bd5b661d653789dd60/ff16735aad1f65774c6412c4e7caf8ae.pdf</t>
  </si>
  <si>
    <t>Perguntei para Luanda se houve algum update junto a diretoria e coordenação</t>
  </si>
  <si>
    <t>Luanda informou que não estão em um bom momento para aprovação da proposta</t>
  </si>
  <si>
    <t>Proposta travada pois a meta do ano ainda não foi alcançada, segundo a Luanda, enquanto o time não bater a meta elas (RH) não conseguem levar a proposta até a Diretoria, que estão focados em atingirem a meta. Eles têm até o dia 20/12 para baterem a meta e a empresa entre em férias coletiva no dia 23</t>
  </si>
  <si>
    <t>Treinamento Recorrente VendaMais - 8 meses</t>
  </si>
  <si>
    <t>Decisão estava com a diretoria, diretor havia recebido uma indicação, o que pesou na decisão</t>
  </si>
  <si>
    <t>Luanda</t>
  </si>
  <si>
    <t>Prais</t>
  </si>
  <si>
    <t>Indaiatuba</t>
  </si>
  <si>
    <t>Bionexo</t>
  </si>
  <si>
    <t>dsrosa@bionexo.com</t>
  </si>
  <si>
    <t>A Bionexo é uma healthtech brasileira, especializada em tecnologia para gestão e inteligência na cadeia de suprimentos da saúde. A empresa conecta hospitais, clínicas, operadoras e fornecedores por meio de uma plataforma digital que automatiza processos de compra, cotação, contratação e logística de materiais hospitalares e medicamentos.</t>
  </si>
  <si>
    <t>força comercial formada por 160 executivos comercial e SDR</t>
  </si>
  <si>
    <t>Deseja treinamento de Spin Selling- 16 horas. Para os dias 19 e 23 de janeiro.</t>
  </si>
  <si>
    <t>Contato realizado com David, que afirmou estar com a proposta na mesa da diretoria, no final desta semana teremos um novo contato com eles.</t>
  </si>
  <si>
    <t>A diretoria, ainda esta em processo de analise da proposta, por este motivo ainda não temos uma definição.</t>
  </si>
  <si>
    <t>https://cdn.bitrix24.com.br/b19630473/main/d1c/d1c7fb1a16fe527dcafc381a3a66f69a/9716a77b9c938b9d5e6a91f9c9527b75.pdf</t>
  </si>
  <si>
    <t>Treinamento de Spin selling - hibrido 16h</t>
  </si>
  <si>
    <t>Por a diretoria fechou com a empresa de indicação deles, infelizmente não revelaram o nome.</t>
  </si>
  <si>
    <t>David</t>
  </si>
  <si>
    <t>Rósa</t>
  </si>
  <si>
    <t>Especialista em Desenvolvimento de Aprendizagem e Liderança</t>
  </si>
  <si>
    <t>Tecnologia da Informação</t>
  </si>
  <si>
    <t>Cotação "Preencher formulário de CRM "LP Consultoria \vm ads"</t>
  </si>
  <si>
    <t>LOWCOST</t>
  </si>
  <si>
    <t>danubia.araujo@lowcost.com.br</t>
  </si>
  <si>
    <t>Empresa de locação de equipamentos</t>
  </si>
  <si>
    <t>força comercial formado por aproximadamente 46 pessoas</t>
  </si>
  <si>
    <t>Deseja um diagnostico comercial - precificação (BID)</t>
  </si>
  <si>
    <t>Realizamos uma reunião com o André (coordenador financeiro), juntamente com o consultor Marcelo Mânica. Nesta semana, a Low Cost realizará o processo de validação da empresa parceira para este diagnóstico.</t>
  </si>
  <si>
    <t>Realizamos uma visita presencial com o CEO e o Coordenador de Pricing. A apresentação foi excelente e conseguimos gerar no cliente uma percepção muito positiva em relação à nossa proposta.</t>
  </si>
  <si>
    <t>https://cdn.bitrix24.com.br/b19630473/main/c0e/c0ea393019fb785b93580b26189f30c1/e8d9b4d7e655c7be14a2604e51e207fa.pdf</t>
  </si>
  <si>
    <t>Danubia afirmou que ainda não houve um posicionamento por parte da diretoria sobre budget disponivel. Seguimos contato</t>
  </si>
  <si>
    <t>Durante o novo FUP com a Low Cost, Manica teve contato direto com o CEO, que validou o interesse em avançar com o fechamento da proposta, sinalizando que a decisão deverá ocorrer em abril.</t>
  </si>
  <si>
    <t>Diagnostico de precificação</t>
  </si>
  <si>
    <t>Atualmente, a empresa necessita de um diagnóstico de pricing para equalizar a metodologia vigente e aprimorar o processo operacional.</t>
  </si>
  <si>
    <t>A empresa está pressionada a melhorar a margem em alguns segmentos, e fatores externos, como a reforma tributária, podem impactar diretamente o processo.</t>
  </si>
  <si>
    <t>Por se tratar de um diagnóstico de precificação, a empresa precisa tecnificar as ações operacionais e validar os processos atualmente existentes</t>
  </si>
  <si>
    <t>Após o carnaval iremos marcar uma nova reunião para validação de preço da proposta e esclarecermos eventuais duvidas.</t>
  </si>
  <si>
    <t>A empresa Low Cost informou, no dia 05 de março, que a proposta não está mais em vigência. Segundo eles, esse assunto deverá ser retomado apenas no segundo semestre do ano.</t>
  </si>
  <si>
    <t>Danúbia</t>
  </si>
  <si>
    <t>Araujo</t>
  </si>
  <si>
    <t>Compras</t>
  </si>
  <si>
    <t>Assaí Atacadista</t>
  </si>
  <si>
    <t>guilherme.santos@assai.com.br</t>
  </si>
  <si>
    <t>O Assaí vende produtos alimentícios, bebidas, itens de limpeza, higiene, embalagens e utilidades em grandes volumes e com preços mais baixos do que os praticados no varejo tradicional.</t>
  </si>
  <si>
    <t>Equipe de compras formada por 600 pessoas + 40 lideres</t>
  </si>
  <si>
    <t>A empresa nos procurou com o objetivo de treinar os compradores e trazer uma visão de mentalidade mais analitica e estratica, amparada por tecnologias na tomada de decisão. O treinamento será divido em 20 turmas, no formado de 4 encontros de 2 horas por turma.</t>
  </si>
  <si>
    <t>Em contato com Guilherme ele afirmou que a proposta ainda esta em processo de avaliação.</t>
  </si>
  <si>
    <t>Estamos avançando com a proposta, que atualmente está em avaliação pelo grupo, em conjunto com propostas de outros fornecedores. Paralelamente, nosso time financeiro está apoiando o processo de cadastro da VendaMais (VM) na ferramenta interna do cliente.</t>
  </si>
  <si>
    <t>https://cdn.bitrix24.com.br/b19630473/main/32a/32a4f6896c50af2c61875de5138d1361/11d0b1afff67a03c98be8bd18e65bd9f.pdf</t>
  </si>
  <si>
    <t>Foi realizado contato com o Guilherme, no qual conseguimos avançar no processo de cadastro junto ao financeiro. De acordo com esse alinhamento, iremos agendar uma nova reunião para refinar a proposta e esclarecer eventuais dúvidas.</t>
  </si>
  <si>
    <t>Contato feito com Guilherme, seguimos sem interação. Aguardando resposta do cliente.</t>
  </si>
  <si>
    <t>Spin selling- Customizado</t>
  </si>
  <si>
    <t>Objetivo é treinar o time de compradores e aprimorar suas soft skills, com foco em comunicação, negociação e tomada de decisão.</t>
  </si>
  <si>
    <t>Em contato com o Guilherme, fomos informados de que a proposta segue em análise e está condicionada à liberação do orçamento anual.</t>
  </si>
  <si>
    <t>A iniciativa também está alinhada a indicadores internos, como metas dos compradores e a melhoria das negociações nas JBP’s (Joint Business Plans).</t>
  </si>
  <si>
    <t>Seguimos acompanhando de perto o processo de cadastro da VendaMais na plataforma do cliente e mantendo contato recorrente com os stakeholders, garantindo continuidade no relacionamento e evitando que o tema esfrie.</t>
  </si>
  <si>
    <t>Realizamos reunião com Guilherme, que informou que neste momento a consultoria interna esta no processo de entrega destes treinamentos, mas no segundo semestre possivelmente voltaremos com nova proposta. Convidamos Guilherme e mais um braço comercial do Assai para o Sales.</t>
  </si>
  <si>
    <t>Guilherme Zago</t>
  </si>
  <si>
    <t>Santos</t>
  </si>
  <si>
    <t>Convenção de Vendas 2026</t>
  </si>
  <si>
    <t>FIESC</t>
  </si>
  <si>
    <t>camila.iop@fiesc.com.br</t>
  </si>
  <si>
    <t>A FIESC é a Federação das Indústrias do Estado de Santa Catarina. Ela é uma entidade que representa e apoia as indústrias catarinenses, funcionando como uma ponte entre o setor produtivo, o governo e a sociedade. Faz parte do chamado Sistema Indústria, junto com outras instituições como o SESI, o SENAI, o IEL e o CIEB</t>
  </si>
  <si>
    <t>Possuem 150 vendedores divididos em PJ e PF</t>
  </si>
  <si>
    <t>Precisam de um tema para convenção de Vendas.</t>
  </si>
  <si>
    <t>Em análise interna. Estão definindo público certo e quantidade.</t>
  </si>
  <si>
    <t>https://cdn.bitrix24.com.br/b19630473/main/e51/e511fd1baf707488fc7c4eb6f70d4375/7d81ea0ec08052b39b268339e63814b8.pdf</t>
  </si>
  <si>
    <t>Falta de alinhamento comercial e dificuldade em Gestão de carteira</t>
  </si>
  <si>
    <t>Toda decisão tomada por eles passa por um planejamento. O pedido foi instruturado em cima da dificuldade e tem que ser resolvido esse ano</t>
  </si>
  <si>
    <t>Taxa de conversão e análise de arteira</t>
  </si>
  <si>
    <t>Ficou de alinhar internamente a quantidade certa de colaboradores que vão participa do game.;</t>
  </si>
  <si>
    <t>Não vão ter mais convenção em 2026, vão mudar todo cenário de treinamentos e retornar com as demandas.</t>
  </si>
  <si>
    <t>Camila</t>
  </si>
  <si>
    <t>Cirino</t>
  </si>
  <si>
    <t>Florianópolis</t>
  </si>
  <si>
    <t>Treinamentos 2026 - Catarinense</t>
  </si>
  <si>
    <t>Catarinense Pharma</t>
  </si>
  <si>
    <t>fernanda.ferrari@catarinensepharma.com.br</t>
  </si>
  <si>
    <t>Empresa do segmento farmaceutico</t>
  </si>
  <si>
    <t>Comercial composto por duas frentes distintas: Gerentes de Contas (Key Accounts) – atendem redes e grandes players (cerca de 11 pessoas). Gerentes de Varejo – cuidam das demais farmácias (entre 30 e 40 pessoas).</t>
  </si>
  <si>
    <t>já realizaram treinamentos anteriormente</t>
  </si>
  <si>
    <t>necessidade de uma proposta para o ano, com foco em Formação de Liderança de Vendas. Os encontros presenciais estão previstos para abril, junho e setembro, e nesses encontros serão trabalhados os temas de maturidade comercial, rituais de liderança e desenvolvimento do time. Serão dois públicos distintos: Gerentes de Contas e Gerentes Varejo</t>
  </si>
  <si>
    <t>Envio de mensagem e ligação para Fernanda sem sucesso</t>
  </si>
  <si>
    <t>https://cdn.bitrix24.com.br/b19630473/main/253/2538bca1b1f03a844e31883b1f91f343/75e104490aed5f295fccd52dbe7116fc.pdf</t>
  </si>
  <si>
    <t>Irá apresentar proposta para a Diretoria em 18/12</t>
  </si>
  <si>
    <t>ligar na segunda semana de janeiro - agendado</t>
  </si>
  <si>
    <t>Treinamento Recorrente: Formação de Liderança de Vendas</t>
  </si>
  <si>
    <t>ccc</t>
  </si>
  <si>
    <t>cccc</t>
  </si>
  <si>
    <t>O projeto com os líderes seguirá outra estratégia, conforme retorno da Fernanda</t>
  </si>
  <si>
    <t>Ferrari</t>
  </si>
  <si>
    <t>Joinville</t>
  </si>
  <si>
    <t>Tintas Ciacollor</t>
  </si>
  <si>
    <t>robson@ciacollor.com.br</t>
  </si>
  <si>
    <t>6 gerentes regionais e 170 RCAs</t>
  </si>
  <si>
    <t>Só trabalha com RCAs, vem crescendo a cada ano e precisa ver se está no caminho certo.</t>
  </si>
  <si>
    <t>Muito bom dia Robson! Tudo bem com você? Aqui é o Fabiano da VendaMais. Quando puder falar, me avisa por favor. Abraços! - Disse que a diretora teve uns problemas de saúde e que ele está cobrindo uma série de coisas. Deve ficar para janeiro.</t>
  </si>
  <si>
    <t>Muito bom dia Robson! Tudo bem com você meu amigo? Excelente 2026 para você e sua família com muita saúde e felicidade! Gostaria de retomar o nosso contato para falarmos sobre o diagnóstico comercial. Como estão as coisas por aí? - Ele retornou falando que está tendo reuniões todos os dias com os gestores e que nesse final de semana estará realizando o PEC na G4. - Falei para ele contar conosco para a implantação do que decidirem lá.</t>
  </si>
  <si>
    <t>https://cdn.bitrix24.com.br/b19630473/main/59c/59cc4abb449168aa26374c3feae98d54/fd20100303a9d2f3362466860c21a4d5.pdf</t>
  </si>
  <si>
    <t>Muito bom dia Robson! Como você está? Espero que bem! E como foi o treinamento da G4? Aproveitou bastante? Gostaria de retomar a conversa com você para te ajudar a implantar tudo o que você viu lá.</t>
  </si>
  <si>
    <t>Bom dia meu querido Estou em reunião Opa! Peço desculpas. Quando puder falar me avisa para batermos um papo. Excelente dia pra você!</t>
  </si>
  <si>
    <t>Não é uma necessidade agora</t>
  </si>
  <si>
    <t>Fizeram treinamento com a G4 e depois o negócio esfriou.</t>
  </si>
  <si>
    <t>Robson</t>
  </si>
  <si>
    <t>da Costa Vieria</t>
  </si>
  <si>
    <t>Diagnostico comercial</t>
  </si>
  <si>
    <t>Power Investimentos 28h</t>
  </si>
  <si>
    <t>VIACERTA</t>
  </si>
  <si>
    <t>raqueli.becker@viacertabanking.com.br</t>
  </si>
  <si>
    <t>empresa de serviços financeiros, a VIACERTA Banking, que oferece crédito e financiamento, e uma empresa de educação profissionalizante,</t>
  </si>
  <si>
    <t>50 consutores e 15 lideres</t>
  </si>
  <si>
    <t>Empresa procura um programa de treinamento para 2026</t>
  </si>
  <si>
    <t>Raqueli, informou que a proposta ainda esta em processo de analise, marcamos um novo FUP para as proximas semanas.</t>
  </si>
  <si>
    <t>Raqueli esta em processo de avaliação das proposta, em dezembro teremos uma nova conversa para fechamento.</t>
  </si>
  <si>
    <t>https://cdn.bitrix24.com.br/b19630473/main/a80/a80e7b499c8e01ffb7156bd868e9bab9/c17547ef8979c5c1eb9b1c700fc46f3d.pdf</t>
  </si>
  <si>
    <t>A empresa Via Certa nos procurou por um treinamento para o time comercial.</t>
  </si>
  <si>
    <t>Power Investimento</t>
  </si>
  <si>
    <t>Baixa conversão, falta de técnicas nas abordagens, dificuldades com objeções e gestão de rotina.</t>
  </si>
  <si>
    <t>Após uma longa jornada para aprovação de orçamento, retomamos o contato e estamos encaminhando para aprovação de proposta.</t>
  </si>
  <si>
    <t>Melhorar a taxa de conversão, engajamento, tecnicas de abordagem.</t>
  </si>
  <si>
    <t>Teremos uma nova conversa no dia 23/02 com o diretor da Raqueli.</t>
  </si>
  <si>
    <t>Infelizmente Raqueli deixou de responder.</t>
  </si>
  <si>
    <t>Raqueli</t>
  </si>
  <si>
    <t>Becker Maders</t>
  </si>
  <si>
    <t>Financeira</t>
  </si>
  <si>
    <t>Santo Cristo</t>
  </si>
  <si>
    <t>Programa de treinamento Power Pharma</t>
  </si>
  <si>
    <t>Prati Donaduzzi</t>
  </si>
  <si>
    <t>danilo.stahelin@pratidonaduzzi.com.br</t>
  </si>
  <si>
    <t>A Prati é uma das maiores fabricantes de remédio do Brasil e do Mundo.</t>
  </si>
  <si>
    <t>São divididos em modelos de negócios. Na parte de receituário onde nos procuraram, são 350 representante e uma média de 300 Inside sales.</t>
  </si>
  <si>
    <t>Precisam de um aabordagem diferente no PDV. A equipe é muito tecnica porém na hora de ofertar estão somente tirando pedidos. Precisam de um alinhamento no pitch de vendas e direcionamento nos passos da venda.</t>
  </si>
  <si>
    <t>Danilo apresentou a proposta para alta gestão e agora está aguardando a definição deles para que possamos dar sequência. Não quis falar datas previstas para fechamento.</t>
  </si>
  <si>
    <t>Ainda em definição da diretoria. Aguardando término do planejamento de 2026.</t>
  </si>
  <si>
    <t>https://cdn.bitrix24.com.br/b19630473/main/aa1/aa1584ee424547914dced6d988af123e/d459c427e2099c865fde03b4fb9e51eb.pdf</t>
  </si>
  <si>
    <t>Danila volta de férias hoje. Está organizando as prioridades e vai me responder assim que possível.</t>
  </si>
  <si>
    <t>Falta de tecnica de vendas. Vendedores muito preparados em tecnica de produtos.</t>
  </si>
  <si>
    <t>Não tinham prazo.</t>
  </si>
  <si>
    <t>Principalmente taxa de conversão</t>
  </si>
  <si>
    <t>Definição da Diretoria para aprovação</t>
  </si>
  <si>
    <t>Com a mudança do diretor comercial, as prioridades mudaram. Pediram para entrar em contato somente no final do ano</t>
  </si>
  <si>
    <t>Danilo Pinheiro</t>
  </si>
  <si>
    <t>Stahelin</t>
  </si>
  <si>
    <t>Toledo</t>
  </si>
  <si>
    <t>RD Alimentos</t>
  </si>
  <si>
    <t>antoniofilho@rdalimentos.com.br</t>
  </si>
  <si>
    <t>A RD é uma distribuidora de alimentos com foco no Paraná e SC. Hoje mantem o foco em cereais, ração animal e farináceos</t>
  </si>
  <si>
    <t>Possuem 19 vendedores, 4 supervisores e 1 gerente</t>
  </si>
  <si>
    <t>Estão com alguns desafios com a equipe e precisam de ajuda para mudar o cenário que está negativo esse ano.</t>
  </si>
  <si>
    <t>Antonio pediu se pode dar retorno na semana que vem.</t>
  </si>
  <si>
    <t>Tentei contato sem sucesso: [17/11/2025 12:59] Fabiano Silva: Olá Antônio! Tudo bem com você? Aqui é o Fabiano da VendaMais. [17/11/2025 12:59] Fabiano Silva: Como estão as coisas por aí?</t>
  </si>
  <si>
    <t>https://cdn.bitrix24.com.br/b19630473/main/b30/b304a8640cf26269ddd8aa2871e8ae17/933f8d48cb146e4f0f99e09674d86c08.pdf</t>
  </si>
  <si>
    <t>Fabiano conversou com o Antonio que preferiu focar em vendas no final do ano e iniciar 2026 com foco em melhoria. Marquei um follow para segunda semana de Janeiro</t>
  </si>
  <si>
    <t>Alinhamento de Necessidade VendaMais e RD Alimentos Convidados antoniofilho@rdalimentos.com.br Rafael Bortoloso Fabiano Silva Anexos Alinhamento de Necessidade VendaMais e RD Alimentos Registros da reunião Transcrição Resumo Rafael Bortoloso e Fabiano Silva da Venda Mais realizaram uma reunião inicial com Antonio Caceffo Filho da RD para alinhar expectativas e entender os desafios da empresa. Antonio Caceffo Filho descreveu a RD, sua estrutura comercial e os desafios de vendas atuais, incluindo a baixa performance da equipe externa e o modelo de contratação de representantes. Fabiano Silva propôs um diagnóstico comercial para a RD, que Antonio Caceffo Filho aceitou, e agendaram uma reunião presencial para 22 de novembro, às 9h, em Curitiba, para a apresentação formal da proposta. Detalhes Tamanho das anotações: Padrão Uso de IA para Análise de Mercado Rafael Bortoloso descreveu como treina o ChatGPT para realizar análises SWOT e coletar informações sobre empresas, como a RD, aproveitando a vasta história online para qualificar potenciais clientes antes da abordagem (00:00:00). Fabiano Silva complementou, mencionando um prompt antigo que utilizava para traçar estratégias e perfis de pessoas e empresas, mas ambos ressaltaram a necessidade de filtrar as informações geradas pela IA, evitando suposições e dados internos desconhecidos (00:01:17). Desafios na Gestão Comercial da LFerramentas Rafael Bortoloso compartilhou um caso da LFerramentas, onde o diretor comercial, apesar de experiente, gerenciava 130 representantes com uma planilha Excel, sem um sistema de BI. Rafael destacou que essa falta de ferramentas modernas dificulta a gestão e o acesso a números essenciais, sublinhando a importância da inteligência artificial e de dados abrangentes para um gerenciamento eficiente (00:03:15). Reunião de Alinhamento Inicial Rafael Bortoloso e Fabiano Silva deram as boas-vindas a Antonio Caceffo Filho, com Rafael apresentando-se como o Suutor da Venda Mais responsável pela conta e Fabiano como sócio de diagnóstico e diretor comercial (00:05:21). Rafael expressou o desejo de uma futura reunião presencial, mas enfatizou que este primeiro encontro online seria para alinhar expectativas e entender a trajetória e os desafios da RD diretamente de Antonio (00:06:23). Histórico e Estrutura da RD Antonio Caceffo Filho explicou que a RD, fundada em 1973, começou com condimentos e expandiu para cereais, e em 2022 abriu uma fábrica de ração para pets e peixes, além de terceirizar muitos produtos com marca própria (00:08:11). Ele detalhou a estrutura comercial da empresa, que inclui 19 vendedores, quatro supervisores, um gerente de vendas geral e uma equipe de televendas em formação, com planos de expansão para novas regiões como Londrina e Maringá (00:09:08). Desafios de Vendas e Estratégias Atuais Antonio Caceffo Filho compartilhou que a equipe de vendas externa da RD não está performando bem, com um crescimento de apenas 6% no ano passado e uma diminuição este ano, enquanto as vendas de licitação e internas estão crescendo (00:11:02). Ele atribuiu a queda a fatores como a dificuldade dos representantes antigos em se adaptar a novas políticas de troca e a falta de treinamento e expertise, apesar de a empresa ter preços agressivos e um mix de produtos vasto, incluindo linhas de cereais, pet e industrializados (00:12:53). Modelo de Contratação dos Representantes Antonio Caceffo Filho esclareceu que os vendedores externos da RD são representantes exclusivos e PJ, com contrato de exclusividade e ajuda de custo, diferente de um modelo de representação multimarca (00:15:53) (00:17:47). Ele explicou que a reestruturação para este modelo foi para evitar problemas e que, apesar de alguns desafios na performance, a empresa está criando oportunidades de crescimento através do mix de produtos, embora a penetração do mix não seja automática e precise de monitoramento (00:16:57). Proposta de Diagnóstico Comercial Fabiano Silva propôs um diagnóstico comercial para a RD, destacando a experiência da Venda Mais na indústria alimentícia e o objetivo de identificar os gaps e direcionar investimentos de forma cirúrgica (00:18:45). Ele explicou que o diagnóstico incluirá a avaliação da estratégia da empresa, conversas com a liderança e representantes, análise de canais de atendimento, e pesquisa com clientes, culminando em um "raio X" aprofundado com percepções e recomendações para a virada de chave (00:20:34). Agendamento da Próxima Reunião Antonio Caceffo Filho concordou com a proposta de diagnóstico e agendou uma reunião presencial para a próxima quarta-feira, dia 22, às 9 horas da manhã em Curitiba, para que Fabiano Silva e Rafael Bortoloso apresentem a proposta formalmente (00:24:00). Antonio também solicitou uma apresentação da Venda Mais com informações sobre seus clientes e contatos para referência, que Rafael se comprometeu a enviar entre hoje e amanhã (00:25:08). Próximas etapas sugeridas Fabiano Silva irá se encontrar com Antonio Caceffo Filho e o pai dele em Curitiba na próxima quarta-feira, dia 22, às 9 horas, para apresentar a proposta do diagnóstico comercial. Rafael Bortoloso irá enviar o convite para Antonio Caceffo Filho travar a agenda para a reunião de quarta-feira, dia 22, às 9 horas, e também a apresentação da Venda Mais com contatos de empresas para verificação do trabalho da consultoria entre hoje e amanhã.</t>
  </si>
  <si>
    <t>Antonio falou que no momento preferem continuar com a estratégia que definida para 2026. Agradeceu a nossa atenção, e falou que entraria em contato quando fosse o momento. Tentei ajustar algumas condições mas ele estava bem convicto.</t>
  </si>
  <si>
    <t>Antonio</t>
  </si>
  <si>
    <t>Caceffo Filho</t>
  </si>
  <si>
    <t>Lonax Indústria Brasileira de Lonas Ltda</t>
  </si>
  <si>
    <t>coordenacaorh@lonax.com.br</t>
  </si>
  <si>
    <t>A Lonax atua na fabricação de lonas e produtos plásticos com várias aplicações. Aqui vão os principais segmentos e produtos: Lonas Plásticas Multiuso, Geomembrana e Silobolsas</t>
  </si>
  <si>
    <t>15 pessoas, divididas entre os produtos Lonas (transacional) e Geomembranas (venda técnica/consultiva).</t>
  </si>
  <si>
    <t>Baixa adesão à “máquina de vendas” – equipe não internalizou o modelo e há resistência no uso da metodologia. Desalinhamento de papéis – dúvidas se as pessoas estão nas funções corretas (SDR, Farmer, Closer etc.). Engajamento e motivação – parte do time desmotivada por falta de clareza de metas e resultados. Necessidade de diagnóstico profundo – avaliar perfil, estrutura e política comercial. Treinamento isolado não resolve – necessidade de um trabalho contínuo e estratégico.</t>
  </si>
  <si>
    <t>Contato feito com Robert, que solicitou retorno para amanhã às 10 horas.</t>
  </si>
  <si>
    <t>Robert afirmou que a diretoria esta em viagem. Marcamos de ter um novo contato na quarta feira da semana que vem.</t>
  </si>
  <si>
    <t>https://cdn.bitrix24.com.br/b19630473/main/707/70763829669917367a495c8bf8b1ea2b/d6fa3d9f9d2bb45c211b86ce5beaf32d.pdf</t>
  </si>
  <si>
    <t>Robert informou que a proposta ainda não foi apresentada à diretoria. Como ele estará ausente esta semana devido a um treinamento, retomaremos o contato na próxima semana.</t>
  </si>
  <si>
    <t>Robert afirmou que a diretoria sinalizou interesse de inciar o diagnostico somente em Janeiro, mas estamos plaiteando o fechando, seguindo a condição ofertada pela diretoria comercial da VM.</t>
  </si>
  <si>
    <t>Durante contato com Robert, identificamos que a proposta esfriou, devido o olhar de prioriade da companhia.</t>
  </si>
  <si>
    <t>A equipe esta com visão de tunel, gargalhos sem ideias de como trazer resolução. E dificuldades gerenciais</t>
  </si>
  <si>
    <t>A diretora da empresa conhece a VendaMais. Isso nos ajuda no processo e negociação</t>
  </si>
  <si>
    <t>Melhorar faturamento, taxa de recomprar e gestão de carteira, engajamento e retenção.</t>
  </si>
  <si>
    <t>Após a conversa realizada com Robert, estamos tentando realizar uma conversa com sua diretora</t>
  </si>
  <si>
    <t>Foram realizadas diversas tentativas de contato com o Robert, sem êxito. A ausência de retorno indica que a proposta deixou de ser prioridade para a empresa</t>
  </si>
  <si>
    <t>Robert Almeida</t>
  </si>
  <si>
    <t>almeida</t>
  </si>
  <si>
    <t>Sarzedo</t>
  </si>
  <si>
    <t>Grupo Camed - Vendópolis</t>
  </si>
  <si>
    <t>Grupo Camed</t>
  </si>
  <si>
    <t>andreiamc@camed.com.br</t>
  </si>
  <si>
    <t>Nascemos em 1979 para prestar assistência médico-hospitalar aos funcionários do Banco do Nordeste e seus familiares. Uma experiência bem sucedida que, aos poucos, começou a render novos frutos como abertura de vendas de planos para clientes de mercado através da Camed Vida. Desde então oferecemos aos nossos associados e beneficiários o que existe de melhor em cuidado à saúde, primando pela excelência dos serviços e concentrando investimentos em saúde preventiva.</t>
  </si>
  <si>
    <t>Convenção será para 150 pessoas</t>
  </si>
  <si>
    <t>Fiz uma campanha de e-mail mkt para pessoas com quem falei no CBTD, Andreia viu o e-mail e entrou em contato. Terão uma convenção em novembro para 150 pessoas e queria um orçamento do vendópolis</t>
  </si>
  <si>
    <t>https://cdn.bitrix24.com.br/b19630473/main/ac1/ac163daecda2d96cd92e8ea3de6546c4/769a325defab1fc606b0a1b10e7da159.pdf</t>
  </si>
  <si>
    <t>Cliente pediu proposta sem passar informação nenhuma. Só iam apresentar a proposta hoje e me dar um retorno para conversarmos melhor. Aguardando</t>
  </si>
  <si>
    <t>Informou que houve mudança no escopo da convenção e não terá mais espaço para o game</t>
  </si>
  <si>
    <t>ANDRÉIA</t>
  </si>
  <si>
    <t>MOREIRA DA COSTA</t>
  </si>
  <si>
    <t>Fortaleza</t>
  </si>
  <si>
    <t>CE</t>
  </si>
  <si>
    <t>Waelzholz Brasmetal Laminação Ltda - Diagnóstico comercial</t>
  </si>
  <si>
    <t>Waelzholz Brasmetal Laminação Ltda</t>
  </si>
  <si>
    <t>karina.maltoni@waelzholz.com</t>
  </si>
  <si>
    <t>Produzem aço relaminado, perfis e tiras de aço de alta precisão (com ou sem tratamento térmico). Produção de relaminados, trefilados e perfilados de aço, exceto arames</t>
  </si>
  <si>
    <t>Formado por 14 pessoas + 8 representantes e 1 supervisor e 2 gerentes</t>
  </si>
  <si>
    <t>O time comercial está enfrentando dificuldades na liderança, com conflitos na comunicação, falta de clareza nas orientações para treinamentos e no estilo de liderar, o que impacta diretamente na performance da equipe</t>
  </si>
  <si>
    <t>Durante o follow-up com a Karina, ela informou que a proposta está em análise com a gerente de RH. Conforme mencionado por elas na reunião presencial, nosso desafio agora é avançar com a sugestão junto ao conselho e à diretoria.</t>
  </si>
  <si>
    <t>A coordenadora Sandriela, esta de ferias e retorna nas ultimas semana de outubro,</t>
  </si>
  <si>
    <t>https://cdn.bitrix24.com.br/b19630473/main/a6c/a6cd3ef8f5a75723d97d6034673b7068/19e352910522bf954758f51fd4e253e2.pdf</t>
  </si>
  <si>
    <t>O coordenador de vendas esteve no SLS, estamos em contato com Karina, aguardando o retorno da Sandriela para avançarmos com a proposta.</t>
  </si>
  <si>
    <t>Contato realizado com Karina, para fazermos um reunião com Sandriela para tratarmos a nova proposta</t>
  </si>
  <si>
    <t>FUP realizado com Karina, o time de RH já apresentou a proposta para o time comercial. Faremos um novo contato na segunda feira para marcamos uma reunião para esclarecermos eventuais duvidas.</t>
  </si>
  <si>
    <t>Proposta apresentada para equipe comercial e RH - Os proximos serão dados após o consenso do time, e conseguiremos dar sequencia.</t>
  </si>
  <si>
    <t>Diagnostico comercial - personalizado</t>
  </si>
  <si>
    <t>Após uma conversa muito clara e transparente com a Sandriella, ela compartilhou que, infelizmente, a diretoria da companhia solicitou o adiamento de todos os treinamentos. Essa decisão impactou negativamente o andamento da negociação. Ainda assim, a expectativa é retomar a proposta no segundo semestre de 2026.</t>
  </si>
  <si>
    <t>Karina</t>
  </si>
  <si>
    <t>De Paula Maltoni</t>
  </si>
  <si>
    <t>Indústria Metalúrgica</t>
  </si>
  <si>
    <t>Diadema</t>
  </si>
  <si>
    <t>convencaodevendasvm.com.br</t>
  </si>
  <si>
    <t>Pacaembu Autopeças</t>
  </si>
  <si>
    <t>rosangela.lima@pabu.com.br</t>
  </si>
  <si>
    <t>Empresa distribuidora de autopeças - linha pesada</t>
  </si>
  <si>
    <t>60 lideres</t>
  </si>
  <si>
    <t>deseja fazer uma convenção nos dias 7,8 e 9 de dezembro em São Paulo para seus lideres</t>
  </si>
  <si>
    <t>Cliente me respondeu ontem às 19:30, informando que sua coordenadora retornou ontem de ferias, e faremos contato no dia 15 para tomada de decisão.</t>
  </si>
  <si>
    <t>Tentativa de contato sem exito, sigo buscando contato de diferente formas</t>
  </si>
  <si>
    <t>https://cdn.bitrix24.com.br/b19630473/main/ee5/ee5c0c3921228138d26799d7a66141ca/d748ed536991e19c9ad30eaa595f9085.pdf</t>
  </si>
  <si>
    <t>Contato realizado via whatsapp, Rosangela afirmou estar em processo de validação de fornecedor</t>
  </si>
  <si>
    <t>Contato realizado com Rosangela, informou que o comite fará uma analise na semana que vem das proposta. A mesma ressaltou que a empresa esta fazendo uma mudança de ultima hora.</t>
  </si>
  <si>
    <t>Cliente deixou de responder</t>
  </si>
  <si>
    <t>Rosangela</t>
  </si>
  <si>
    <t>Aparecida Silva de Lima</t>
  </si>
  <si>
    <t>Supervisor de RH</t>
  </si>
  <si>
    <t>consultoria.vendamais.com.br/vm</t>
  </si>
  <si>
    <t>ATCO PLÁSTICOS</t>
  </si>
  <si>
    <t>fabio@atco.com.br</t>
  </si>
  <si>
    <t>Empresa atuante no nicho de embalagens em diferentes segmentos</t>
  </si>
  <si>
    <t>30 representante comercial - 16 comercial</t>
  </si>
  <si>
    <t>Deseja um planejamento estrategico para 2026.</t>
  </si>
  <si>
    <t>Fabiano boa tarde, Muito obrigado, e apenas para o feedback ! Gostamos da sua apresentação, nosso presidente diretor está saindo nesta semana para uma viagem à Europa e retorna em 60 dias. Na primeira semana de dezembro voltamos a conversar, vamos entrar nos detalhes para escolher a consultoria, e iniciar este projeto em janeiro de 2026. Até breve.</t>
  </si>
  <si>
    <t>Fabio afirmou estar em reunião e pediu pra retornar o contato amanhã às 14:00</t>
  </si>
  <si>
    <t>https://cdn.bitrix24.com.br/b19630473/main/72a/72a1b57c241a8efbad17c9e243bd5ba1/3970e85421fca9760ae00d64a85e81ad.pdf</t>
  </si>
  <si>
    <t>Contato realizado com o Fábio, que informou não ter apresentado a proposta ao CEO. Ficou alinhado um novo contato para o final do mês de janeiro.</t>
  </si>
  <si>
    <t>Fabio foi desligado da companhia, estamos fazendo contato com Vanessa (a nova responsavel pela area). Seguimos tentando contato.</t>
  </si>
  <si>
    <t>interação feita com Vanessa, sem resposta. Sigo acompanhando.</t>
  </si>
  <si>
    <t>Atualmente, o Grupo ATCO está sem parâmetros claros em seus canais de venda e segmentos, o que vem impactando diretamente os resultados e os números da empresa.</t>
  </si>
  <si>
    <t>Inicio de semestre, baixa performance nos ultimos anos, gera pressão para crescimento neste ano.</t>
  </si>
  <si>
    <t>O cliente deseja melhorar a visão estrategica, visando melhorar margens e share de mercado.,</t>
  </si>
  <si>
    <t>Conversa agendada para o dia 29/01</t>
  </si>
  <si>
    <t>Com a saída do Fábio da empresa, a comunicação foi interrompida. Retomamos contato com a Vanessa, porém ela demonstrou pouco alinhamento com o tema e não sinalizou interesse ou prioridade em dar continuidade à negociação. Após novas tentativas de contato, fomos informados de que, neste momento, a proposta não é prioridade para a empresa.</t>
  </si>
  <si>
    <t>FÁBIO</t>
  </si>
  <si>
    <t>HENRIQUE VILLANI - SAIU DA EMPRESA</t>
  </si>
  <si>
    <t>Indústria de Plásticos</t>
  </si>
  <si>
    <t>Vinhedo</t>
  </si>
  <si>
    <t>Diagnóstico E-zine Raul</t>
  </si>
  <si>
    <t>Itaipava Tintas</t>
  </si>
  <si>
    <t>cintia.argan@itaipavatintas.com.br</t>
  </si>
  <si>
    <t>A Itaipava tintas é referência em tecnologia e inovação na região Serrano e Sul fluminense do Rio de Janeiro.</t>
  </si>
  <si>
    <t>Possuem 14 RCAs e a média de 50 vendedores em 19 lojas com 1 líder em cada loja</t>
  </si>
  <si>
    <t>Cintia já acompanha a VendaMais a muito tempo, com isso ela participou do diagnóstico em um E-zine do Raul. Cintia aceitou o bate papo no qual trouxe algumas dores, e a principal é a falta de processo comercial. Cada loja atua de uma forma e as lideranças na maioria são melhores vendedores que subiram de cargo, que no caso deles gerou um problema.</t>
  </si>
  <si>
    <t>Fabiano fez uma reunião com a Cintia muito proveitosa. Cintia vai apresentar a proposta para a Diretoria em uma reunião essa semana. Pediu para retornar na segunda que vem pra entender como foi.</t>
  </si>
  <si>
    <t>Cintiu retornou que teve um falecimento na família dos Diretores da empresa. Falou que ainda não conseguiu mostrar para eles, mas que a Gerencia em geral gostou muito da ideia do diagnóstico. Áudio segue em comentários.</t>
  </si>
  <si>
    <t>https://cdn.bitrix24.com.br/b19630473/main/f57/f57fb1ab418f0aa6552275b763e953b1/44570d2c9acb6a6d7ce77c9afe59fff2.pdf</t>
  </si>
  <si>
    <t>Cintia comentou que não deram para entrar no tema na reunião do dia 03. Foi entrega para a Diretoria e iam conversar sobre o tema hoje. Aguardando retorno!</t>
  </si>
  <si>
    <t>Fabiano entrou em contato com a Cíntia e comentou na possibilidade de fazermos o diagnóstico esse ano ainda. Ela ficou animada e ia levar para Diretoria e conselho.</t>
  </si>
  <si>
    <t>[05/11/2025 18:29] Cíntia Itaipava Tintas: Boa noite Fabiano! Peco desculpas pelo horário do envio dessa mensagem. Os últimos dias se iniciaram bem cedo e estão terminando bem tarde, longosss! Eu tive ontem com meu diretor, ele deu sinais positivos, disse que gostaria de agendar um momento com vocês. Eu estou aguardando a sinalização dele para verificar se você tem a disponibilidade. Ele deu sinais de preferência na realização do trabalho em 3 meses, penso que ele tenha inicialmente considerado impossível rs. No mais, agradeço sua atenção e desejo uma excelente noite de descanso junto aos seus! Abraço [05/11/2025 18:33] Fabiano Silva: Olá! Nossa vida é assim mesmo...rs Hoje acordei as 4 da manhã preocupado com as metas...rs Mas que notícia boa! E muito obrigado pelo retorno. Fico no aguardo pra marcarmos essa reunião. Bom descanso pra você também!</t>
  </si>
  <si>
    <t>Boa tarde Cintia! Como você está? Espero que tudo bem! Estou pensando em dar um pulo aí na última semana de novembro pra conhecer vocês pessoalmente e para fecharmos o negócio...rs O que acha?</t>
  </si>
  <si>
    <t>Com uma nova mudança de Diretor comercial e com a sucessão do filho do dono, decidiram busca um nome como a G4 para auxiliar nesse momento. Deixei a porta aberta para Cintia que sempre foi muito solícita.</t>
  </si>
  <si>
    <t>Cintia</t>
  </si>
  <si>
    <t>Argan</t>
  </si>
  <si>
    <t>Materiais de Construção</t>
  </si>
  <si>
    <t>Três Rios</t>
  </si>
  <si>
    <t>WEG EQUIPAMENTOS - CBTD 2025</t>
  </si>
  <si>
    <t>WEG EQUIPAMENTOS</t>
  </si>
  <si>
    <t>mbrockveld@weg.net</t>
  </si>
  <si>
    <t>A WEG fabrica e comercializa equipamentos eletroeletrônicos, como motores, transformadores e sistemas de automação, com foco em soluções industriais e energias renováveis.</t>
  </si>
  <si>
    <t>Mais de 50 vendedores</t>
  </si>
  <si>
    <t>Estão planejando o calendário de treinamentos para 2025 (de outubro a dezembro) e para 2026 (de fevereiro a novembro). Neste momento estão somente fazendo uma cotação dos possiveis fornecedores</t>
  </si>
  <si>
    <t>[11/09/2025 15:23] Fabiano Silva: Boa tarde Marcos! Tudo bem com você? Me chamo Fabiano Silva e sou Diretor Comercial da VendaMais. Muito prazer! Recentemente passamos uma proposta de treinamentos para vocês. Você saberia me dizer como está o processo seletivo dessa proposta? Muito obrigado por enquanto! [11/09/2025 18:28] Marcos V. V. BROCKVELD - WEG: Boa tarde Fabiano, tudo bem? [11/09/2025 18:29] Marcos V. V. BROCKVELD - WEG: A Cassia está avaliando as propostas e dará um retorno para vocês [11/09/2025 18:29] Marcos V. V. BROCKVELD - WEG: Estamos com outra demanda nesses últimos dias e a parte da trilha de vendas ficou um pouco em stand by [11/09/2025 18:30] Marcos V. V. BROCKVELD - WEG: Mas recebemos a proposta e está em análise [12/09/2025 08:22] Fabiano Silva: Muitíssimo obrigado pelo retorno Marcos! Se a proposta fizer sentido pra vocês, podemos conversar mais em detalhes e refinar ela, inclusive nos valores se for necessário. Um grande abraços e excelente resto de semana!</t>
  </si>
  <si>
    <t>Ajustado orçamento e enviado para a Cássia</t>
  </si>
  <si>
    <t>https://cdn.bitrix24.com.br/b19630473/main/8be/8beb22a0405234ec69024dc20a390c91/7dbd6c09925db4f03195a4a91f8b5114.xlsx</t>
  </si>
  <si>
    <t>Muito boa tarde Cássia! Tudo bem com você? Acabei de te mandar o e-mail com as informações adicionais. Se precisar de mais alguma coisa, por favor me avisa. Abraços e excelente final de semana pra você!</t>
  </si>
  <si>
    <t>Bom dia Fabiano, como vai? Por aqui tudo bem, graças a Deus. Material recebido. Orçamentos estão com a nossa área de compras para análise. Qualquer necessidade, Ivan, comprador responsável, entrará em contato contigo. Grata! Tenha uma ótima semana. Atenciosamente, Cássia Feles Martins Heidemann Desenvolvimento Profissional</t>
  </si>
  <si>
    <t>Muito bom dia Cássia! Como você está? Está precisando de mais alguma informação para apresentar internamente a proposta de treinamentos? - Cássia retornou falando que vão ajustar o número de treinamentos para concentrar em 2 anos</t>
  </si>
  <si>
    <t>[12/11/2025 08:13] Fabiano Silva: Muito bom Cássia! Como você está? Espero que tudo bem? Cássia, ainda não recebi a solicitação das alterações na proposta. Você sabe como está o andamento do projeto? [12/11/2025 11:49] WEG - Cássia Heidemann: Oi Fabiano, boa tarde [12/11/2025 11:49] WEG - Cássia Heidemann: Tio’s bem e com vc? [12/11/2025 11:49] WEG - Cássia Heidemann: Hoje a tarde tenho alinhamento com o comprador e o retorno após [12/11/2025 11:53] Fabiano Silva: Excelente Cássia! Muito obrigado pelo retorno. Fico no aguardo. Abraços!</t>
  </si>
  <si>
    <t>Licitação de Treinamentos 2026 / 2027</t>
  </si>
  <si>
    <t>Depois de diversas tentativas durante várias semanas sem contato.</t>
  </si>
  <si>
    <t>Marcos</t>
  </si>
  <si>
    <t>Vinícius Vanderlinde Brockveld</t>
  </si>
  <si>
    <t>Jaraguá do Sul</t>
  </si>
  <si>
    <t>Grupo Marlan</t>
  </si>
  <si>
    <t>luciano@marlan.com.br</t>
  </si>
  <si>
    <t>Solicitou ajustes nas propostas. Eu, Caetano e Mânica revisamos.</t>
  </si>
  <si>
    <t>Disse que vai contratar um GNV primeiro. Falei que podemos entrar com a consultoria e ajudá-lo a contratar a pessoa. E mandei o vídeo do Caetano sobre os resultados do BPO</t>
  </si>
  <si>
    <t>https://cdn.bitrix24.com.br/b19630473/main/d82/d82eb1790d5fe75f3e913d20aa212de6/8e8e195aefaaf26f5a805d191a2d8388.pdf</t>
  </si>
  <si>
    <t>[23/09/2025 09:12] Fabiano Silva: Muito bom dia Luciano! Como você está? [23/09/2025 09:12] Fabiano Silva: E como está a busca por um gerente nacional de vendas? Tem tido progresso?</t>
  </si>
  <si>
    <t>Bom dia Luciano! Como você está? Tudo bem por aí? Quando puder falar, me avisa por favor. Abraços! Luciano disse que contrataram um head hunting e até o final do mês devem fechar com um GNV. Na sequência voltamos a falar sobre a proposta</t>
  </si>
  <si>
    <t>Muito bom dia Luciano! Como você está? Espero que tudo bem! Conseguiu contratar o gerente de vendas para a Marlan?</t>
  </si>
  <si>
    <t>Muito bom dia meu amigo! Como você está? Excelente 2026 para você e toda a sua família com muita saúde e felicidade! Como estão as coisas por aí? E a contratação do Gerente? Deu tudo certo?</t>
  </si>
  <si>
    <t>Consultoria Comercial</t>
  </si>
  <si>
    <t>Luciano</t>
  </si>
  <si>
    <t>GUARAMIRIM</t>
  </si>
  <si>
    <t>Johnson&amp;Johnson - CBTD 2025</t>
  </si>
  <si>
    <t>Johnson&amp;Johnson - Medical</t>
  </si>
  <si>
    <t>dsant103@its.jnj.com</t>
  </si>
  <si>
    <t>Johnson &amp; Johnson possui quatro clusters na América Latina: Brasil, Norte (incluindo Costa Rica e Colômbia), Cone Sul (Argentina, Uruguai, Peru e Chile) e Caribe.A empresa está migrando de uma metodologia de vendas tradicional para a nova metodologia Challenger, com a expectativa de que todos os representantes sejam treinados até o final do próximo</t>
  </si>
  <si>
    <t>Diego é responsável pelo desenvolvimento do time de vendas da Johnson &amp; Johnson, focando na parte cirúrgica e na América Latina, com 80 líderes de vendas, sendo 25 a 30 no Brasil. Diego estimou que há entre 1.000 e 1.500 representantes na América Latina, mencionando que a estrutura da equipe passou por reformulações recentes</t>
  </si>
  <si>
    <t>Nos procurou com o objetivo de desenvolver as habilidades comerciais de sua equipe na Johnson Meditek. Ele identificou que a empresa ainda não tinha uma estrutura definida para essas habilidades e, por isso, está buscando apoio para: Desenvolvimento de Habilidades Comerciais: Diego mencionou a necessidade de um playbook que delineie as habilidades esperadas para os representantes de vendas, além de um acompanhamento para avaliar o progresso em relação a essas competências</t>
  </si>
  <si>
    <t>Diego informou que proposta está bem alinhada às expectativas. Ele ainda está para apresentar a proposta para a gestão, mas já nos informou ainda na apresentação da proposta que o projeto é mais viável para janeiro de 2026</t>
  </si>
  <si>
    <t>realizamos uma reunião com Diego, que solicitou alterações na proposta. Karen ficou de realiazar o ajuste para enviarmos.</t>
  </si>
  <si>
    <t>Após a solicitação do Diego, encaminhamos a proposta ajustada. Diego esta em viagem pela empresa, e retorna em 06 de outubro. Sigo acompanhando</t>
  </si>
  <si>
    <t>Contato realizado com Diego, que informou que a proposta está em análise junto à diretoria para aprovação do orçamento. Ficou acordado que faremos um novo contato no dia 08/12 para acompanhamento.</t>
  </si>
  <si>
    <t>O Diego informou que, em função de uma mudança no planejamento estratégico, a empresa optou por não avançar na construção do playbook neste momento. No entanto, alinhamos uma reunião presencial com ele para apresentar nosso portfólio e discutir possíveis soluções em treinamentos pontuais, de acordo com as necessidades atuais da empresa.</t>
  </si>
  <si>
    <t>Diego</t>
  </si>
  <si>
    <t>dos Anjos Santos</t>
  </si>
  <si>
    <t>Gerente de Desenvolvimento Organizacional</t>
  </si>
  <si>
    <t>Santana de Parnaíba</t>
  </si>
  <si>
    <t>BALDAN - AGRISHOW 2025</t>
  </si>
  <si>
    <t>BALDAN IMPLEMENTOS AGRÍCOLAS</t>
  </si>
  <si>
    <t>fleite@baldan.com.br</t>
  </si>
  <si>
    <t>Empresa fabricante de implementos e maquinas para o agronegocio.</t>
  </si>
  <si>
    <t>mkt, venda e pós venda 90 pessoas</t>
  </si>
  <si>
    <t>Lead veio de prospecção e com potencial de projeto de treinamento para 2026.</t>
  </si>
  <si>
    <t>Email encaminhado para Fernanda, como uma cadencia, durante um contato com Amanda ela informou que a Fenanda esta a frente deste processo.</t>
  </si>
  <si>
    <t>contato feito com Fernanda, que afirmou não estar olhando para esta demanda no momento.</t>
  </si>
  <si>
    <t>https://cdn.bitrix24.com.br/b19630473/main/21d/21d577b91c42db9ebfd597ee10f29f1f/9dc5e73c148cc129ed24ebb3fa523875.pptx</t>
  </si>
  <si>
    <t>Contato realizado com Fernanda, até o momento ainda não tivemos sua interação, sigo acompanhando</t>
  </si>
  <si>
    <t>Amanda informou que Fernanda esta de ferias, agendamos contato para quarta feira.</t>
  </si>
  <si>
    <t>Diversas tentativas de contato com Fernanda, sem sucesso, sigo acompanhando.</t>
  </si>
  <si>
    <t>8 lideres</t>
  </si>
  <si>
    <t>Projeto de treinamento</t>
  </si>
  <si>
    <t>Segundo a Fernanda devido as mudanças no agronegocio, a pauta projeto de treino deixou de ser prioridade.</t>
  </si>
  <si>
    <t>Fabiano</t>
  </si>
  <si>
    <t>Leite</t>
  </si>
  <si>
    <t>Matão</t>
  </si>
  <si>
    <t>Valor da Proposta</t>
  </si>
  <si>
    <t>DMA Alumínio</t>
  </si>
  <si>
    <t>Dryeration</t>
  </si>
  <si>
    <t>Sem Parar Empresas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</si>
</sst>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dd/mm/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10" xfId="0" applyBorder="1" applyAlignment="1">
      <alignment wrapText="1"/>
    </xf>
    <xf numFmtId="0" fontId="18" fillId="0" borderId="10" xfId="0" applyFont="1" applyBorder="1" applyAlignment="1">
      <alignment wrapText="1"/>
    </xf>
    <xf numFmtId="0" fontId="0" fillId="0" borderId="11" xfId="0" applyBorder="1" applyAlignment="1">
      <alignment wrapText="1"/>
    </xf>
    <xf numFmtId="0" fontId="18" fillId="0" borderId="11" xfId="0" applyFont="1" applyBorder="1" applyAlignment="1">
      <alignment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43" fontId="19" fillId="0" borderId="12" xfId="1" applyFont="1" applyBorder="1" applyAlignment="1">
      <alignment horizontal="center" vertical="center" wrapText="1"/>
    </xf>
    <xf numFmtId="43" fontId="18" fillId="0" borderId="10" xfId="1" applyFont="1" applyBorder="1" applyAlignment="1">
      <alignment wrapText="1"/>
    </xf>
    <xf numFmtId="43" fontId="0" fillId="0" borderId="0" xfId="1" applyFont="1"/>
    <xf numFmtId="1" fontId="19" fillId="0" borderId="12" xfId="0" applyNumberFormat="1" applyFont="1" applyBorder="1" applyAlignment="1">
      <alignment horizontal="center" vertical="center" wrapText="1"/>
    </xf>
    <xf numFmtId="1" fontId="18" fillId="0" borderId="10" xfId="0" applyNumberFormat="1" applyFont="1" applyBorder="1" applyAlignment="1">
      <alignment wrapText="1"/>
    </xf>
    <xf numFmtId="1" fontId="0" fillId="0" borderId="10" xfId="0" applyNumberFormat="1" applyBorder="1" applyAlignment="1">
      <alignment wrapText="1"/>
    </xf>
    <xf numFmtId="1" fontId="0" fillId="0" borderId="0" xfId="0" applyNumberFormat="1"/>
    <xf numFmtId="165" fontId="19" fillId="0" borderId="12" xfId="0" applyNumberFormat="1" applyFont="1" applyBorder="1" applyAlignment="1">
      <alignment horizontal="center" vertical="center" wrapText="1"/>
    </xf>
    <xf numFmtId="165" fontId="18" fillId="0" borderId="10" xfId="0" applyNumberFormat="1" applyFont="1" applyBorder="1" applyAlignment="1">
      <alignment wrapText="1"/>
    </xf>
    <xf numFmtId="165" fontId="0" fillId="0" borderId="0" xfId="0" applyNumberFormat="1"/>
    <xf numFmtId="165" fontId="0" fillId="0" borderId="10" xfId="0" applyNumberFormat="1" applyBorder="1" applyAlignment="1">
      <alignment wrapText="1"/>
    </xf>
  </cellXfs>
  <cellStyles count="43">
    <cellStyle name="20% - Ênfase1" xfId="20" builtinId="30" customBuiltin="1"/>
    <cellStyle name="20% - Ênfase2" xfId="24" builtinId="34" customBuiltin="1"/>
    <cellStyle name="20% - Ênfase3" xfId="28" builtinId="38" customBuiltin="1"/>
    <cellStyle name="20% - Ênfase4" xfId="32" builtinId="42" customBuiltin="1"/>
    <cellStyle name="20% - Ênfase5" xfId="36" builtinId="46" customBuiltin="1"/>
    <cellStyle name="20% - Ênfase6" xfId="40" builtinId="50" customBuiltin="1"/>
    <cellStyle name="40% - Ênfase1" xfId="21" builtinId="31" customBuiltin="1"/>
    <cellStyle name="40% - Ênfase2" xfId="25" builtinId="35" customBuiltin="1"/>
    <cellStyle name="40% - Ênfase3" xfId="29" builtinId="39" customBuiltin="1"/>
    <cellStyle name="40% - Ênfase4" xfId="33" builtinId="43" customBuiltin="1"/>
    <cellStyle name="40% - Ênfase5" xfId="37" builtinId="47" customBuiltin="1"/>
    <cellStyle name="40% - Ênfase6" xfId="41" builtinId="51" customBuiltin="1"/>
    <cellStyle name="60% - Ênfase1" xfId="22" builtinId="32" customBuiltin="1"/>
    <cellStyle name="60% - Ênfase2" xfId="26" builtinId="36" customBuiltin="1"/>
    <cellStyle name="60% - Ênfase3" xfId="30" builtinId="40" customBuiltin="1"/>
    <cellStyle name="60% - Ênfase4" xfId="34" builtinId="44" customBuiltin="1"/>
    <cellStyle name="60% - Ênfase5" xfId="38" builtinId="48" customBuiltin="1"/>
    <cellStyle name="60% - Ênfase6" xfId="42" builtinId="52" customBuiltin="1"/>
    <cellStyle name="Bom" xfId="7" builtinId="26" customBuiltin="1"/>
    <cellStyle name="Cálculo" xfId="12" builtinId="22" customBuiltin="1"/>
    <cellStyle name="Célula de Verificação" xfId="14" builtinId="23" customBuiltin="1"/>
    <cellStyle name="Célula Vinculada" xfId="13" builtinId="24" customBuiltin="1"/>
    <cellStyle name="Ênfase1" xfId="19" builtinId="29" customBuiltin="1"/>
    <cellStyle name="Ênfase2" xfId="23" builtinId="33" customBuiltin="1"/>
    <cellStyle name="Ênfase3" xfId="27" builtinId="37" customBuiltin="1"/>
    <cellStyle name="Ênfase4" xfId="31" builtinId="41" customBuiltin="1"/>
    <cellStyle name="Ênfase5" xfId="35" builtinId="45" customBuiltin="1"/>
    <cellStyle name="Ênfase6" xfId="39" builtinId="49" customBuiltin="1"/>
    <cellStyle name="Entrada" xfId="10" builtinId="20" customBuiltin="1"/>
    <cellStyle name="Neutro" xfId="9" builtinId="28" customBuiltin="1"/>
    <cellStyle name="Normal" xfId="0" builtinId="0"/>
    <cellStyle name="Nota" xfId="16" builtinId="10" customBuiltin="1"/>
    <cellStyle name="Ruim" xfId="8" builtinId="27" customBuiltin="1"/>
    <cellStyle name="Saída" xfId="11" builtinId="21" customBuiltin="1"/>
    <cellStyle name="Texto de Aviso" xfId="15" builtinId="11" customBuiltin="1"/>
    <cellStyle name="Texto Explicativo" xfId="17" builtinId="53" customBuiltin="1"/>
    <cellStyle name="Título" xfId="2" builtinId="15" customBuiltin="1"/>
    <cellStyle name="Título 1" xfId="3" builtinId="16" customBuiltin="1"/>
    <cellStyle name="Título 2" xfId="4" builtinId="17" customBuiltin="1"/>
    <cellStyle name="Título 3" xfId="5" builtinId="18" customBuiltin="1"/>
    <cellStyle name="Título 4" xfId="6" builtinId="19" customBuiltin="1"/>
    <cellStyle name="Total" xfId="18" builtinId="25" customBuiltin="1"/>
    <cellStyle name="Vírgula" xfId="1" builtinId="3"/>
  </cellStyles>
  <dxfs count="46">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65" formatCode="dd/mm/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65" formatCode="dd/mm/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65" formatCode="dd/mm/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65" formatCode="dd/mm/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65" formatCode="dd/mm/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65" formatCode="dd/mm/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65" formatCode="dd/mm/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65" formatCode="dd/mm/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 formatCode="0"/>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general" vertical="bottom"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3195EB-AF1A-474B-8318-D6641EC79420}" name="Tabela1" displayName="Tabela1" ref="A1:AO68" totalsRowShown="0" headerRowDxfId="45" dataDxfId="43" headerRowBorderDxfId="44" tableBorderDxfId="42" totalsRowBorderDxfId="41">
  <autoFilter ref="A1:AO68" xr:uid="{743195EB-AF1A-474B-8318-D6641EC79420}"/>
  <sortState xmlns:xlrd2="http://schemas.microsoft.com/office/spreadsheetml/2017/richdata2" ref="A2:AO68">
    <sortCondition ref="AI1:AI68"/>
  </sortState>
  <tableColumns count="41">
    <tableColumn id="10" xr3:uid="{920EE400-BBEB-4C14-9ECF-E799D821AACC}" name="Empresa" dataDxfId="0"/>
    <tableColumn id="2" xr3:uid="{B75879B4-EA92-40FE-B142-24B7D6AE5C62}" name="Responsável" dataDxfId="40"/>
    <tableColumn id="4" xr3:uid="{ABAA2BAA-51C8-4761-9E12-6FEE26CF7396}" name="Nome do negócio" dataDxfId="39"/>
    <tableColumn id="8" xr3:uid="{4B15BCFA-6C7F-41A3-A7E5-D506768B308E}" name="Valor da Proposta" dataDxfId="38" dataCellStyle="Vírgula"/>
    <tableColumn id="14" xr3:uid="{5787C950-9D88-4765-88FE-F1CF3716474A}" name="Criado" dataDxfId="9"/>
    <tableColumn id="19" xr3:uid="{4A8B34A4-271A-43FF-A00B-72365982FAE0}" name="Data de fechamento" dataDxfId="8"/>
    <tableColumn id="39" xr3:uid="{58847B04-B9F1-4AA6-B2C4-2C14325D8A38}" name="Quantas pessoas tem na sua equipe comercial" dataDxfId="37"/>
    <tableColumn id="99" xr3:uid="{EFEA5E7D-7C48-44CD-BF3F-E0FC44C81E7F}" name="Telefone do contato" dataDxfId="36"/>
    <tableColumn id="147" xr3:uid="{4B27D0D5-8CCD-4E2C-9C66-539B5B4E3D79}" name="Como funciona o negócio do cliente hoje? (O que ele vende, para quem vende e, se possível, em qual contexto a empresa está – crescimento, pressão por meta, reorganização, etc.)" dataDxfId="35"/>
    <tableColumn id="148" xr3:uid="{220E5856-3425-45B1-9C60-A06A9D7FB2F1}" name="Como é a estrutura comercial atual da empresa? (Quantidade de vendedores, tipo de time – interno/externo/híbrido –, principais canais de venda e se existe liderança comercial dedicada.)" dataDxfId="34"/>
    <tableColumn id="149" xr3:uid="{B3754FA1-128F-44F2-8360-1351EA75F8A0}" name="Por que o cliente nos procurou e o que ele espera melhorar ou alcançar com o apoio da VendaMais? (Ex.: bater meta, preparar a equipe, estruturar vendas, melhorar resultados, apoiar um momento específico como convenção, virada de ciclo, novo produto, etc.)" dataDxfId="33"/>
    <tableColumn id="159" xr3:uid="{9A6E04A7-7DAC-49C5-A807-9AD181C97FFD}" name="Serviço oferecido" dataDxfId="32"/>
    <tableColumn id="160" xr3:uid="{A84B6EDD-46D9-4659-B6AC-113E19ECEBA8}" name="Data Follow up 1" dataDxfId="7"/>
    <tableColumn id="161" xr3:uid="{396CA538-AE23-4931-87A5-AF04E5DE01C6}" name="Descrição do Follow up 1" dataDxfId="31"/>
    <tableColumn id="162" xr3:uid="{035C0A42-9F45-4F26-AF2C-3A7DD9338AC3}" name="Data Follow up 2" dataDxfId="6"/>
    <tableColumn id="163" xr3:uid="{95FBEA33-E4D6-4D5B-B4DC-0FC6EDF96D53}" name="Descrição do Follow up 2" dataDxfId="30"/>
    <tableColumn id="164" xr3:uid="{1D911683-AF73-4A33-B98A-978CDB623075}" name="Anexe a proposta enviada ao cliente:" dataDxfId="29"/>
    <tableColumn id="165" xr3:uid="{508F67F6-06D3-4579-B5A4-A6AFCD162CEE}" name="Data Follow up 3" dataDxfId="5"/>
    <tableColumn id="166" xr3:uid="{00333284-C22B-4434-99C7-6581C82CC2C6}" name="Descrição Follow up 3" dataDxfId="28"/>
    <tableColumn id="167" xr3:uid="{9960F29B-D257-48CC-803E-7E2D3421F8A2}" name="Data Follow up 4" dataDxfId="4"/>
    <tableColumn id="168" xr3:uid="{AAB74E00-0F40-4BC9-8C94-7804935269ED}" name="Descrição Follow up 4" dataDxfId="27"/>
    <tableColumn id="169" xr3:uid="{97D54DD6-A168-4FD4-BEC8-EA87D54EDDD8}" name="Data Follow up 5" dataDxfId="3"/>
    <tableColumn id="170" xr3:uid="{4BAA212B-2287-4E7C-AEEE-4DA8DD180B3B}" name="Descrição Follow up 5" dataDxfId="26"/>
    <tableColumn id="171" xr3:uid="{5C3CD317-02A5-4CD7-AF60-A8EAE294123B}" name="Data Negociação" dataDxfId="2"/>
    <tableColumn id="172" xr3:uid="{100F20C7-3B2D-4816-9368-FA475AAA4536}" name="Descrição Negociação" dataDxfId="25"/>
    <tableColumn id="183" xr3:uid="{B041B837-6A64-4FCE-A349-2ACE04293D0F}" name="Processo de liderança (estrutura de líderes no comercial)" dataDxfId="24"/>
    <tableColumn id="184" xr3:uid="{F86D24B5-351C-4379-91DA-E92042D17C62}" name="Transcrição Qualificação (Ligação ou Vídeo)" dataDxfId="23"/>
    <tableColumn id="190" xr3:uid="{512EC311-EFC5-47C5-B92F-DCEFD80D0C3E}" name="Nome do serviço oferecido na proposta" dataDxfId="22"/>
    <tableColumn id="191" xr3:uid="{0600496E-5DDE-426E-A45D-5ABDF83C57F5}" name="Qual é o principal desafio comercial que ficou claro na conversa? (Ex.: baixa conversão, falta de padrão na abordagem, dificuldade em negociar, vendedores inseguros, perda de oportunidades, necessidade de organizar o processo, etc.)" dataDxfId="21"/>
    <tableColumn id="192" xr3:uid="{3FF860A6-A0A0-431C-86FF-979B751E19F0}" name="Existe algum prazo, evento ou pressão que torne essa decisão importante agora? (Ex.: convenção, conselho, fechamento de trimestre, orçamento, mudança de liderança, resultado ruim recente, lançamento, etc.)" dataDxfId="20"/>
    <tableColumn id="193" xr3:uid="{788BD241-7E9C-4ACD-B9EE-D4379EDE7301}" name="Quais resultados ou indicadores o cliente gostaria de melhorar? (Marque ou descreva os mais citados: conversão, faturamento, ticket médio, produtividade do time, engajamento, retenção, organização do funil, previsibilidade.)" dataDxfId="19"/>
    <tableColumn id="194" xr3:uid="{51163C0D-204F-4888-82D3-3789E0BF6D35}" name="O que ficou combinado como próximo passo após essa conversa? (Ex.: enviar proposta, marcar nova reunião, envolver outro decisor, ajustar escopo, aguardar data/orçamento, etc.)" dataDxfId="18"/>
    <tableColumn id="226" xr3:uid="{16EFF13B-9CB8-47F7-97CF-EC91A27304B6}" name="Motivo de perda" dataDxfId="17"/>
    <tableColumn id="227" xr3:uid="{08C60BE0-68FB-4F89-B059-6F7B1CD3695D}" name="Motivo de perda (descrição)" dataDxfId="16"/>
    <tableColumn id="264" xr3:uid="{DBED4678-6EC2-492F-9B6F-236098419FC0}" name="Contato: Primeiro Nome" dataDxfId="15"/>
    <tableColumn id="265" xr3:uid="{F5F50911-679F-4D2A-97CE-FEA642BD7ED0}" name="Contato: Sobrenome" dataDxfId="14"/>
    <tableColumn id="313" xr3:uid="{023BDAE8-A214-475B-A11F-CEA316B419DC}" name="Contato: Cargo" dataDxfId="13"/>
    <tableColumn id="98" xr3:uid="{5CA0EABB-577B-41F3-B55C-D5B160B0082D}" name="E-mail do contato" dataDxfId="1"/>
    <tableColumn id="417" xr3:uid="{0CCCDCC8-5652-4D5D-BE5A-4C5FA0E90E70}" name="Empresa: Indústria" dataDxfId="12"/>
    <tableColumn id="486" xr3:uid="{C9BF5A39-5EC5-4B43-986C-CB37E3703D47}" name="Empresa: Cidade" dataDxfId="11"/>
    <tableColumn id="492" xr3:uid="{97635937-6019-4A9E-98AA-117FC539A1CE}" name="Empresa: Estado" dataDxfId="10"/>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0AD32-1280-4C90-BEEB-78B3E504B24F}">
  <dimension ref="A1:AO68"/>
  <sheetViews>
    <sheetView showGridLines="0" tabSelected="1" workbookViewId="0">
      <selection activeCell="A2" sqref="A2"/>
    </sheetView>
  </sheetViews>
  <sheetFormatPr defaultColWidth="50.7109375" defaultRowHeight="33" customHeight="1" x14ac:dyDescent="0.25"/>
  <cols>
    <col min="1" max="1" width="49" bestFit="1" customWidth="1"/>
    <col min="2" max="2" width="15.140625" bestFit="1" customWidth="1"/>
    <col min="3" max="3" width="49.42578125" style="9" bestFit="1" customWidth="1"/>
    <col min="4" max="4" width="20" bestFit="1" customWidth="1"/>
    <col min="5" max="5" width="10.5703125" style="16" bestFit="1" customWidth="1"/>
    <col min="6" max="6" width="21.5703125" style="16" bestFit="1" customWidth="1"/>
    <col min="7" max="7" width="42" bestFit="1" customWidth="1"/>
    <col min="8" max="8" width="38.5703125" bestFit="1" customWidth="1"/>
    <col min="9" max="9" width="255.7109375" style="13" bestFit="1" customWidth="1"/>
    <col min="10" max="11" width="255.7109375" bestFit="1" customWidth="1"/>
    <col min="12" max="12" width="34.5703125" bestFit="1" customWidth="1"/>
    <col min="13" max="13" width="18.7109375" bestFit="1" customWidth="1"/>
    <col min="14" max="14" width="255.7109375" bestFit="1" customWidth="1"/>
    <col min="15" max="15" width="18.7109375" bestFit="1" customWidth="1"/>
    <col min="16" max="16" width="183.85546875" style="16" bestFit="1" customWidth="1"/>
    <col min="17" max="17" width="56.28515625" bestFit="1" customWidth="1"/>
    <col min="18" max="18" width="18.7109375" bestFit="1" customWidth="1"/>
    <col min="19" max="19" width="255.7109375" style="16" bestFit="1" customWidth="1"/>
    <col min="20" max="20" width="18.7109375" bestFit="1" customWidth="1"/>
    <col min="21" max="21" width="141" style="16" bestFit="1" customWidth="1"/>
    <col min="22" max="22" width="18.7109375" bestFit="1" customWidth="1"/>
    <col min="23" max="23" width="255.7109375" style="16" bestFit="1" customWidth="1"/>
    <col min="24" max="24" width="18.42578125" bestFit="1" customWidth="1"/>
    <col min="25" max="25" width="235.5703125" style="16" bestFit="1" customWidth="1"/>
    <col min="26" max="26" width="161" bestFit="1" customWidth="1"/>
    <col min="27" max="27" width="255.7109375" bestFit="1" customWidth="1"/>
    <col min="28" max="28" width="48.5703125" bestFit="1" customWidth="1"/>
    <col min="29" max="29" width="255.7109375" bestFit="1" customWidth="1"/>
    <col min="30" max="30" width="181.140625" bestFit="1" customWidth="1"/>
    <col min="31" max="31" width="179.5703125" bestFit="1" customWidth="1"/>
    <col min="32" max="32" width="167.85546875" bestFit="1" customWidth="1"/>
    <col min="33" max="33" width="26.42578125" bestFit="1" customWidth="1"/>
    <col min="34" max="34" width="255.7109375" bestFit="1" customWidth="1"/>
    <col min="35" max="35" width="25.28515625" bestFit="1" customWidth="1"/>
    <col min="36" max="36" width="31" bestFit="1" customWidth="1"/>
    <col min="37" max="37" width="43.7109375" bestFit="1" customWidth="1"/>
    <col min="38" max="38" width="45.7109375" bestFit="1" customWidth="1"/>
    <col min="39" max="39" width="30.28515625" bestFit="1" customWidth="1"/>
    <col min="40" max="40" width="18.7109375" bestFit="1" customWidth="1"/>
    <col min="41" max="41" width="18.5703125" bestFit="1" customWidth="1"/>
  </cols>
  <sheetData>
    <row r="1" spans="1:41" ht="33" customHeight="1" x14ac:dyDescent="0.25">
      <c r="A1" s="5" t="s">
        <v>2</v>
      </c>
      <c r="B1" s="5" t="s">
        <v>0</v>
      </c>
      <c r="C1" s="5" t="s">
        <v>1</v>
      </c>
      <c r="D1" s="7" t="s">
        <v>1247</v>
      </c>
      <c r="E1" s="14" t="s">
        <v>3</v>
      </c>
      <c r="F1" s="14" t="s">
        <v>4</v>
      </c>
      <c r="G1" s="5" t="s">
        <v>5</v>
      </c>
      <c r="H1" s="10" t="s">
        <v>7</v>
      </c>
      <c r="I1" s="5" t="s">
        <v>8</v>
      </c>
      <c r="J1" s="5" t="s">
        <v>9</v>
      </c>
      <c r="K1" s="5" t="s">
        <v>10</v>
      </c>
      <c r="L1" s="5" t="s">
        <v>11</v>
      </c>
      <c r="M1" s="5" t="s">
        <v>12</v>
      </c>
      <c r="N1" s="5" t="s">
        <v>13</v>
      </c>
      <c r="O1" s="14" t="s">
        <v>14</v>
      </c>
      <c r="P1" s="5" t="s">
        <v>15</v>
      </c>
      <c r="Q1" s="5" t="s">
        <v>16</v>
      </c>
      <c r="R1" s="14" t="s">
        <v>17</v>
      </c>
      <c r="S1" s="5" t="s">
        <v>18</v>
      </c>
      <c r="T1" s="14" t="s">
        <v>19</v>
      </c>
      <c r="U1" s="5" t="s">
        <v>20</v>
      </c>
      <c r="V1" s="14" t="s">
        <v>21</v>
      </c>
      <c r="W1" s="5" t="s">
        <v>22</v>
      </c>
      <c r="X1" s="14"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6</v>
      </c>
      <c r="AM1" s="5" t="s">
        <v>37</v>
      </c>
      <c r="AN1" s="5" t="s">
        <v>38</v>
      </c>
      <c r="AO1" s="6" t="s">
        <v>39</v>
      </c>
    </row>
    <row r="2" spans="1:41" ht="33" customHeight="1" x14ac:dyDescent="0.25">
      <c r="A2" s="2" t="s">
        <v>399</v>
      </c>
      <c r="B2" s="2" t="s">
        <v>51</v>
      </c>
      <c r="C2" s="2" t="s">
        <v>398</v>
      </c>
      <c r="D2" s="8">
        <v>24915</v>
      </c>
      <c r="E2" s="15">
        <v>46063.666921296295</v>
      </c>
      <c r="F2" s="15">
        <v>46071</v>
      </c>
      <c r="G2" s="2" t="s">
        <v>47</v>
      </c>
      <c r="H2" s="12"/>
      <c r="I2" s="2" t="s">
        <v>401</v>
      </c>
      <c r="J2" s="2" t="s">
        <v>402</v>
      </c>
      <c r="K2" s="2" t="s">
        <v>403</v>
      </c>
      <c r="L2" s="2" t="s">
        <v>125</v>
      </c>
      <c r="M2" s="17"/>
      <c r="N2" s="1"/>
      <c r="O2" s="17"/>
      <c r="P2" s="1"/>
      <c r="Q2" s="2" t="s">
        <v>404</v>
      </c>
      <c r="R2" s="17"/>
      <c r="S2" s="1"/>
      <c r="T2" s="17"/>
      <c r="U2" s="1"/>
      <c r="V2" s="17"/>
      <c r="W2" s="1"/>
      <c r="X2" s="17"/>
      <c r="Y2" s="1"/>
      <c r="Z2" s="1"/>
      <c r="AA2" s="2" t="s">
        <v>405</v>
      </c>
      <c r="AB2" s="2" t="s">
        <v>406</v>
      </c>
      <c r="AC2" s="2" t="s">
        <v>407</v>
      </c>
      <c r="AD2" s="2" t="s">
        <v>408</v>
      </c>
      <c r="AE2" s="2" t="s">
        <v>409</v>
      </c>
      <c r="AF2" s="2" t="s">
        <v>410</v>
      </c>
      <c r="AG2" s="2" t="s">
        <v>257</v>
      </c>
      <c r="AH2" s="2" t="s">
        <v>411</v>
      </c>
      <c r="AI2" s="2" t="s">
        <v>412</v>
      </c>
      <c r="AJ2" s="2" t="s">
        <v>413</v>
      </c>
      <c r="AK2" s="1"/>
      <c r="AL2" s="2" t="s">
        <v>400</v>
      </c>
      <c r="AM2" s="2" t="s">
        <v>414</v>
      </c>
      <c r="AN2" s="2" t="s">
        <v>243</v>
      </c>
      <c r="AO2" s="3"/>
    </row>
    <row r="3" spans="1:41" ht="33" customHeight="1" x14ac:dyDescent="0.25">
      <c r="A3" s="2" t="s">
        <v>437</v>
      </c>
      <c r="B3" s="2" t="s">
        <v>54</v>
      </c>
      <c r="C3" s="2" t="s">
        <v>436</v>
      </c>
      <c r="D3" s="8">
        <v>97500</v>
      </c>
      <c r="E3" s="15">
        <v>46062.716446759259</v>
      </c>
      <c r="F3" s="15">
        <v>46139</v>
      </c>
      <c r="G3" s="2" t="s">
        <v>45</v>
      </c>
      <c r="H3" s="11">
        <v>5519996012287</v>
      </c>
      <c r="I3" s="2" t="s">
        <v>92</v>
      </c>
      <c r="J3" s="2" t="s">
        <v>92</v>
      </c>
      <c r="K3" s="2" t="s">
        <v>92</v>
      </c>
      <c r="L3" s="2" t="s">
        <v>48</v>
      </c>
      <c r="M3" s="15">
        <v>46077</v>
      </c>
      <c r="N3" s="2" t="s">
        <v>439</v>
      </c>
      <c r="O3" s="15">
        <v>46098</v>
      </c>
      <c r="P3" s="2" t="s">
        <v>440</v>
      </c>
      <c r="Q3" s="2" t="s">
        <v>441</v>
      </c>
      <c r="R3" s="15">
        <v>46105</v>
      </c>
      <c r="S3" s="2" t="s">
        <v>442</v>
      </c>
      <c r="T3" s="15">
        <v>46108</v>
      </c>
      <c r="U3" s="2" t="s">
        <v>443</v>
      </c>
      <c r="V3" s="15">
        <v>46120</v>
      </c>
      <c r="W3" s="2" t="s">
        <v>444</v>
      </c>
      <c r="X3" s="15">
        <v>46129</v>
      </c>
      <c r="Y3" s="2" t="s">
        <v>330</v>
      </c>
      <c r="Z3" s="1"/>
      <c r="AA3" s="2" t="s">
        <v>92</v>
      </c>
      <c r="AB3" s="2" t="s">
        <v>445</v>
      </c>
      <c r="AC3" s="2" t="s">
        <v>92</v>
      </c>
      <c r="AD3" s="2" t="s">
        <v>92</v>
      </c>
      <c r="AE3" s="2" t="s">
        <v>92</v>
      </c>
      <c r="AF3" s="2" t="s">
        <v>92</v>
      </c>
      <c r="AG3" s="2" t="s">
        <v>53</v>
      </c>
      <c r="AH3" s="2" t="s">
        <v>53</v>
      </c>
      <c r="AI3" s="2" t="s">
        <v>446</v>
      </c>
      <c r="AJ3" s="2" t="s">
        <v>447</v>
      </c>
      <c r="AK3" s="2" t="s">
        <v>160</v>
      </c>
      <c r="AL3" s="2" t="s">
        <v>438</v>
      </c>
      <c r="AM3" s="2" t="s">
        <v>449</v>
      </c>
      <c r="AN3" s="2" t="s">
        <v>450</v>
      </c>
      <c r="AO3" s="4" t="s">
        <v>80</v>
      </c>
    </row>
    <row r="4" spans="1:41" ht="33" customHeight="1" x14ac:dyDescent="0.25">
      <c r="A4" s="2" t="s">
        <v>1250</v>
      </c>
      <c r="B4" s="2" t="s">
        <v>41</v>
      </c>
      <c r="C4" s="2" t="s">
        <v>611</v>
      </c>
      <c r="D4" s="8">
        <v>17500</v>
      </c>
      <c r="E4" s="15">
        <v>46038.700300925928</v>
      </c>
      <c r="F4" s="15">
        <v>46062</v>
      </c>
      <c r="G4" s="2" t="s">
        <v>45</v>
      </c>
      <c r="H4" s="11">
        <v>5511992388458</v>
      </c>
      <c r="I4" s="2" t="s">
        <v>612</v>
      </c>
      <c r="J4" s="2" t="s">
        <v>613</v>
      </c>
      <c r="K4" s="2" t="s">
        <v>614</v>
      </c>
      <c r="L4" s="2" t="s">
        <v>125</v>
      </c>
      <c r="M4" s="15">
        <v>46044</v>
      </c>
      <c r="N4" s="2" t="s">
        <v>615</v>
      </c>
      <c r="O4" s="15">
        <v>46052</v>
      </c>
      <c r="P4" s="2" t="s">
        <v>616</v>
      </c>
      <c r="Q4" s="2" t="s">
        <v>617</v>
      </c>
      <c r="R4" s="15">
        <v>46056</v>
      </c>
      <c r="S4" s="2" t="s">
        <v>618</v>
      </c>
      <c r="T4" s="17"/>
      <c r="U4" s="1"/>
      <c r="V4" s="17"/>
      <c r="W4" s="1"/>
      <c r="X4" s="17"/>
      <c r="Y4" s="1"/>
      <c r="Z4" s="1"/>
      <c r="AA4" s="1"/>
      <c r="AB4" s="2" t="s">
        <v>619</v>
      </c>
      <c r="AC4" s="2" t="s">
        <v>620</v>
      </c>
      <c r="AD4" s="2" t="s">
        <v>621</v>
      </c>
      <c r="AE4" s="2" t="s">
        <v>622</v>
      </c>
      <c r="AF4" s="2" t="s">
        <v>623</v>
      </c>
      <c r="AG4" s="2" t="s">
        <v>342</v>
      </c>
      <c r="AH4" s="2" t="s">
        <v>624</v>
      </c>
      <c r="AI4" s="2" t="s">
        <v>86</v>
      </c>
      <c r="AJ4" s="2" t="s">
        <v>87</v>
      </c>
      <c r="AK4" s="2" t="s">
        <v>88</v>
      </c>
      <c r="AL4" s="2" t="s">
        <v>84</v>
      </c>
      <c r="AM4" s="2" t="s">
        <v>82</v>
      </c>
      <c r="AN4" s="2" t="s">
        <v>79</v>
      </c>
      <c r="AO4" s="4" t="s">
        <v>80</v>
      </c>
    </row>
    <row r="5" spans="1:41" ht="33" customHeight="1" x14ac:dyDescent="0.25">
      <c r="A5" s="2" t="s">
        <v>883</v>
      </c>
      <c r="B5" s="2" t="s">
        <v>41</v>
      </c>
      <c r="C5" s="2" t="s">
        <v>882</v>
      </c>
      <c r="D5" s="8">
        <v>23210</v>
      </c>
      <c r="E5" s="15">
        <v>45988.972418981481</v>
      </c>
      <c r="F5" s="15">
        <v>46101</v>
      </c>
      <c r="G5" s="2" t="s">
        <v>42</v>
      </c>
      <c r="H5" s="11">
        <v>5544999619849</v>
      </c>
      <c r="I5" s="2" t="s">
        <v>885</v>
      </c>
      <c r="J5" s="2" t="s">
        <v>886</v>
      </c>
      <c r="K5" s="2" t="s">
        <v>887</v>
      </c>
      <c r="L5" s="2" t="s">
        <v>125</v>
      </c>
      <c r="M5" s="15">
        <v>46037</v>
      </c>
      <c r="N5" s="2" t="s">
        <v>888</v>
      </c>
      <c r="O5" s="15">
        <v>46056</v>
      </c>
      <c r="P5" s="2" t="s">
        <v>889</v>
      </c>
      <c r="Q5" s="2" t="s">
        <v>890</v>
      </c>
      <c r="R5" s="15">
        <v>46059</v>
      </c>
      <c r="S5" s="2" t="s">
        <v>891</v>
      </c>
      <c r="T5" s="17"/>
      <c r="U5" s="1"/>
      <c r="V5" s="17"/>
      <c r="W5" s="1"/>
      <c r="X5" s="17"/>
      <c r="Y5" s="1"/>
      <c r="Z5" s="1"/>
      <c r="AA5" s="1"/>
      <c r="AB5" s="2" t="s">
        <v>892</v>
      </c>
      <c r="AC5" s="2" t="s">
        <v>893</v>
      </c>
      <c r="AD5" s="2" t="s">
        <v>894</v>
      </c>
      <c r="AE5" s="2" t="s">
        <v>895</v>
      </c>
      <c r="AF5" s="2" t="s">
        <v>896</v>
      </c>
      <c r="AG5" s="2" t="s">
        <v>85</v>
      </c>
      <c r="AH5" s="2" t="s">
        <v>897</v>
      </c>
      <c r="AI5" s="2" t="s">
        <v>898</v>
      </c>
      <c r="AJ5" s="2" t="s">
        <v>899</v>
      </c>
      <c r="AK5" s="2" t="s">
        <v>161</v>
      </c>
      <c r="AL5" s="2" t="s">
        <v>884</v>
      </c>
      <c r="AM5" s="2" t="s">
        <v>451</v>
      </c>
      <c r="AN5" s="2" t="s">
        <v>868</v>
      </c>
      <c r="AO5" s="4" t="s">
        <v>202</v>
      </c>
    </row>
    <row r="6" spans="1:41" ht="33" customHeight="1" x14ac:dyDescent="0.25">
      <c r="A6" s="2" t="s">
        <v>321</v>
      </c>
      <c r="B6" s="2" t="s">
        <v>54</v>
      </c>
      <c r="C6" s="2" t="s">
        <v>46</v>
      </c>
      <c r="D6" s="8">
        <v>49500</v>
      </c>
      <c r="E6" s="15">
        <v>46087.601261574076</v>
      </c>
      <c r="F6" s="15">
        <v>46139</v>
      </c>
      <c r="G6" s="2" t="s">
        <v>52</v>
      </c>
      <c r="H6" s="11">
        <v>5547984432255</v>
      </c>
      <c r="I6" s="2" t="s">
        <v>323</v>
      </c>
      <c r="J6" s="2" t="s">
        <v>324</v>
      </c>
      <c r="K6" s="2" t="s">
        <v>325</v>
      </c>
      <c r="L6" s="2" t="s">
        <v>46</v>
      </c>
      <c r="M6" s="15">
        <v>46098</v>
      </c>
      <c r="N6" s="2" t="s">
        <v>326</v>
      </c>
      <c r="O6" s="15">
        <v>46105</v>
      </c>
      <c r="P6" s="2" t="s">
        <v>327</v>
      </c>
      <c r="Q6" s="2" t="s">
        <v>328</v>
      </c>
      <c r="R6" s="15">
        <v>46120</v>
      </c>
      <c r="S6" s="2" t="s">
        <v>329</v>
      </c>
      <c r="T6" s="15">
        <v>46129</v>
      </c>
      <c r="U6" s="2" t="s">
        <v>330</v>
      </c>
      <c r="V6" s="17"/>
      <c r="W6" s="1"/>
      <c r="X6" s="17"/>
      <c r="Y6" s="1"/>
      <c r="Z6" s="1"/>
      <c r="AA6" s="1"/>
      <c r="AB6" s="2" t="s">
        <v>331</v>
      </c>
      <c r="AC6" s="2" t="s">
        <v>332</v>
      </c>
      <c r="AD6" s="2" t="s">
        <v>333</v>
      </c>
      <c r="AE6" s="2" t="s">
        <v>334</v>
      </c>
      <c r="AF6" s="2" t="s">
        <v>335</v>
      </c>
      <c r="AG6" s="2" t="s">
        <v>53</v>
      </c>
      <c r="AH6" s="2" t="s">
        <v>53</v>
      </c>
      <c r="AI6" s="2" t="s">
        <v>336</v>
      </c>
      <c r="AJ6" s="2" t="s">
        <v>337</v>
      </c>
      <c r="AK6" s="2" t="s">
        <v>161</v>
      </c>
      <c r="AL6" s="2" t="s">
        <v>322</v>
      </c>
      <c r="AM6" s="2" t="s">
        <v>338</v>
      </c>
      <c r="AN6" s="2" t="s">
        <v>339</v>
      </c>
      <c r="AO6" s="4" t="s">
        <v>154</v>
      </c>
    </row>
    <row r="7" spans="1:41" ht="33" customHeight="1" x14ac:dyDescent="0.25">
      <c r="A7" s="2" t="s">
        <v>1099</v>
      </c>
      <c r="B7" s="2" t="s">
        <v>41</v>
      </c>
      <c r="C7" s="2" t="s">
        <v>1098</v>
      </c>
      <c r="D7" s="8">
        <v>40370</v>
      </c>
      <c r="E7" s="15">
        <v>45924.637071759258</v>
      </c>
      <c r="F7" s="15">
        <v>46169</v>
      </c>
      <c r="G7" s="2" t="s">
        <v>57</v>
      </c>
      <c r="H7" s="11">
        <v>5585997132031</v>
      </c>
      <c r="I7" s="2" t="s">
        <v>1101</v>
      </c>
      <c r="J7" s="2" t="s">
        <v>1102</v>
      </c>
      <c r="K7" s="2" t="s">
        <v>1103</v>
      </c>
      <c r="L7" s="2" t="s">
        <v>93</v>
      </c>
      <c r="M7" s="17"/>
      <c r="N7" s="1"/>
      <c r="O7" s="17"/>
      <c r="P7" s="1"/>
      <c r="Q7" s="2" t="s">
        <v>1104</v>
      </c>
      <c r="R7" s="17"/>
      <c r="S7" s="1"/>
      <c r="T7" s="17"/>
      <c r="U7" s="1"/>
      <c r="V7" s="17"/>
      <c r="W7" s="1"/>
      <c r="X7" s="17"/>
      <c r="Y7" s="1"/>
      <c r="Z7" s="1"/>
      <c r="AA7" s="1"/>
      <c r="AB7" s="2" t="s">
        <v>633</v>
      </c>
      <c r="AC7" s="2" t="s">
        <v>1105</v>
      </c>
      <c r="AD7" s="2" t="s">
        <v>92</v>
      </c>
      <c r="AE7" s="2" t="s">
        <v>92</v>
      </c>
      <c r="AF7" s="2" t="s">
        <v>92</v>
      </c>
      <c r="AG7" s="2" t="s">
        <v>85</v>
      </c>
      <c r="AH7" s="2" t="s">
        <v>1106</v>
      </c>
      <c r="AI7" s="2" t="s">
        <v>1107</v>
      </c>
      <c r="AJ7" s="2" t="s">
        <v>1108</v>
      </c>
      <c r="AK7" s="2" t="s">
        <v>341</v>
      </c>
      <c r="AL7" s="2" t="s">
        <v>1100</v>
      </c>
      <c r="AM7" s="2" t="s">
        <v>449</v>
      </c>
      <c r="AN7" s="2" t="s">
        <v>1109</v>
      </c>
      <c r="AO7" s="4" t="s">
        <v>1110</v>
      </c>
    </row>
    <row r="8" spans="1:41" ht="33" customHeight="1" x14ac:dyDescent="0.25">
      <c r="A8" s="2" t="s">
        <v>627</v>
      </c>
      <c r="B8" s="2" t="s">
        <v>78</v>
      </c>
      <c r="C8" s="2" t="s">
        <v>626</v>
      </c>
      <c r="D8" s="8">
        <v>19300</v>
      </c>
      <c r="E8" s="15">
        <v>46038.636828703704</v>
      </c>
      <c r="F8" s="15">
        <v>46052</v>
      </c>
      <c r="G8" s="2" t="s">
        <v>52</v>
      </c>
      <c r="H8" s="11">
        <v>5547999879322</v>
      </c>
      <c r="I8" s="2" t="s">
        <v>629</v>
      </c>
      <c r="J8" s="2" t="s">
        <v>630</v>
      </c>
      <c r="K8" s="2" t="s">
        <v>631</v>
      </c>
      <c r="L8" s="2" t="s">
        <v>93</v>
      </c>
      <c r="M8" s="17"/>
      <c r="N8" s="1"/>
      <c r="O8" s="17"/>
      <c r="P8" s="1"/>
      <c r="Q8" s="2" t="s">
        <v>632</v>
      </c>
      <c r="R8" s="17"/>
      <c r="S8" s="1"/>
      <c r="T8" s="17"/>
      <c r="U8" s="1"/>
      <c r="V8" s="17"/>
      <c r="W8" s="1"/>
      <c r="X8" s="17"/>
      <c r="Y8" s="1"/>
      <c r="Z8" s="1"/>
      <c r="AA8" s="1"/>
      <c r="AB8" s="2" t="s">
        <v>633</v>
      </c>
      <c r="AC8" s="2" t="s">
        <v>634</v>
      </c>
      <c r="AD8" s="2" t="s">
        <v>635</v>
      </c>
      <c r="AE8" s="2" t="s">
        <v>636</v>
      </c>
      <c r="AF8" s="2" t="s">
        <v>637</v>
      </c>
      <c r="AG8" s="2" t="s">
        <v>85</v>
      </c>
      <c r="AH8" s="2" t="s">
        <v>638</v>
      </c>
      <c r="AI8" s="2" t="s">
        <v>639</v>
      </c>
      <c r="AJ8" s="2" t="s">
        <v>540</v>
      </c>
      <c r="AK8" s="2" t="s">
        <v>155</v>
      </c>
      <c r="AL8" s="2" t="s">
        <v>628</v>
      </c>
      <c r="AM8" s="2" t="s">
        <v>338</v>
      </c>
      <c r="AN8" s="2" t="s">
        <v>640</v>
      </c>
      <c r="AO8" s="4" t="s">
        <v>154</v>
      </c>
    </row>
    <row r="9" spans="1:41" ht="33" customHeight="1" x14ac:dyDescent="0.25">
      <c r="A9" s="2" t="s">
        <v>1066</v>
      </c>
      <c r="B9" s="2" t="s">
        <v>51</v>
      </c>
      <c r="C9" s="2" t="s">
        <v>49</v>
      </c>
      <c r="D9" s="8">
        <v>82500</v>
      </c>
      <c r="E9" s="15">
        <v>45939.480185185188</v>
      </c>
      <c r="F9" s="15">
        <v>46038</v>
      </c>
      <c r="G9" s="2" t="s">
        <v>52</v>
      </c>
      <c r="H9" s="11">
        <v>5541991127630</v>
      </c>
      <c r="I9" s="2" t="s">
        <v>1068</v>
      </c>
      <c r="J9" s="2" t="s">
        <v>1069</v>
      </c>
      <c r="K9" s="2" t="s">
        <v>1070</v>
      </c>
      <c r="L9" s="2" t="s">
        <v>46</v>
      </c>
      <c r="M9" s="15">
        <v>45961</v>
      </c>
      <c r="N9" s="2" t="s">
        <v>1071</v>
      </c>
      <c r="O9" s="15">
        <v>45978</v>
      </c>
      <c r="P9" s="2" t="s">
        <v>1072</v>
      </c>
      <c r="Q9" s="2" t="s">
        <v>1073</v>
      </c>
      <c r="R9" s="15">
        <v>45979</v>
      </c>
      <c r="S9" s="2" t="s">
        <v>1074</v>
      </c>
      <c r="T9" s="17"/>
      <c r="U9" s="1"/>
      <c r="V9" s="17"/>
      <c r="W9" s="1"/>
      <c r="X9" s="17"/>
      <c r="Y9" s="1"/>
      <c r="Z9" s="1"/>
      <c r="AA9" s="2" t="s">
        <v>1075</v>
      </c>
      <c r="AB9" s="2" t="s">
        <v>331</v>
      </c>
      <c r="AC9" s="1"/>
      <c r="AD9" s="1"/>
      <c r="AE9" s="1"/>
      <c r="AF9" s="1"/>
      <c r="AG9" s="2" t="s">
        <v>85</v>
      </c>
      <c r="AH9" s="2" t="s">
        <v>1076</v>
      </c>
      <c r="AI9" s="2" t="s">
        <v>1077</v>
      </c>
      <c r="AJ9" s="2" t="s">
        <v>1078</v>
      </c>
      <c r="AK9" s="2" t="s">
        <v>99</v>
      </c>
      <c r="AL9" s="2" t="s">
        <v>1067</v>
      </c>
      <c r="AM9" s="2" t="s">
        <v>157</v>
      </c>
      <c r="AN9" s="2" t="s">
        <v>483</v>
      </c>
      <c r="AO9" s="4" t="s">
        <v>202</v>
      </c>
    </row>
    <row r="10" spans="1:41" ht="33" customHeight="1" x14ac:dyDescent="0.25">
      <c r="A10" s="2" t="s">
        <v>982</v>
      </c>
      <c r="B10" s="2" t="s">
        <v>51</v>
      </c>
      <c r="C10" s="2" t="s">
        <v>981</v>
      </c>
      <c r="D10" s="8">
        <v>19900</v>
      </c>
      <c r="E10" s="15">
        <v>45967.750613425924</v>
      </c>
      <c r="F10" s="15">
        <v>46072</v>
      </c>
      <c r="G10" s="2" t="s">
        <v>57</v>
      </c>
      <c r="H10" s="11">
        <v>5549984266779</v>
      </c>
      <c r="I10" s="2" t="s">
        <v>984</v>
      </c>
      <c r="J10" s="2" t="s">
        <v>985</v>
      </c>
      <c r="K10" s="2" t="s">
        <v>986</v>
      </c>
      <c r="L10" s="2" t="s">
        <v>93</v>
      </c>
      <c r="M10" s="15">
        <v>46051</v>
      </c>
      <c r="N10" s="2" t="s">
        <v>987</v>
      </c>
      <c r="O10" s="17"/>
      <c r="P10" s="1"/>
      <c r="Q10" s="2" t="s">
        <v>988</v>
      </c>
      <c r="R10" s="17"/>
      <c r="S10" s="1"/>
      <c r="T10" s="17"/>
      <c r="U10" s="1"/>
      <c r="V10" s="17"/>
      <c r="W10" s="1"/>
      <c r="X10" s="17"/>
      <c r="Y10" s="1"/>
      <c r="Z10" s="1"/>
      <c r="AA10" s="1"/>
      <c r="AB10" s="2" t="s">
        <v>633</v>
      </c>
      <c r="AC10" s="2" t="s">
        <v>989</v>
      </c>
      <c r="AD10" s="2" t="s">
        <v>990</v>
      </c>
      <c r="AE10" s="2" t="s">
        <v>991</v>
      </c>
      <c r="AF10" s="2" t="s">
        <v>992</v>
      </c>
      <c r="AG10" s="2" t="s">
        <v>85</v>
      </c>
      <c r="AH10" s="2" t="s">
        <v>993</v>
      </c>
      <c r="AI10" s="2" t="s">
        <v>994</v>
      </c>
      <c r="AJ10" s="2" t="s">
        <v>995</v>
      </c>
      <c r="AK10" s="1"/>
      <c r="AL10" s="2" t="s">
        <v>983</v>
      </c>
      <c r="AM10" s="2" t="s">
        <v>119</v>
      </c>
      <c r="AN10" s="2" t="s">
        <v>996</v>
      </c>
      <c r="AO10" s="4" t="s">
        <v>154</v>
      </c>
    </row>
    <row r="11" spans="1:41" ht="33" customHeight="1" x14ac:dyDescent="0.25">
      <c r="A11" s="2" t="s">
        <v>283</v>
      </c>
      <c r="B11" s="2" t="s">
        <v>51</v>
      </c>
      <c r="C11" s="2" t="s">
        <v>283</v>
      </c>
      <c r="D11" s="8">
        <v>24615</v>
      </c>
      <c r="E11" s="15">
        <v>46090.384201388886</v>
      </c>
      <c r="F11" s="15">
        <v>46119</v>
      </c>
      <c r="G11" s="2" t="s">
        <v>57</v>
      </c>
      <c r="H11" s="11" t="s">
        <v>285</v>
      </c>
      <c r="I11" s="2" t="s">
        <v>286</v>
      </c>
      <c r="J11" s="2" t="s">
        <v>287</v>
      </c>
      <c r="K11" s="2" t="s">
        <v>288</v>
      </c>
      <c r="L11" s="2" t="s">
        <v>62</v>
      </c>
      <c r="M11" s="15">
        <v>46100</v>
      </c>
      <c r="N11" s="2" t="s">
        <v>289</v>
      </c>
      <c r="O11" s="15">
        <v>46112</v>
      </c>
      <c r="P11" s="2" t="s">
        <v>290</v>
      </c>
      <c r="Q11" s="2" t="s">
        <v>291</v>
      </c>
      <c r="R11" s="15">
        <v>46118</v>
      </c>
      <c r="S11" s="2" t="s">
        <v>292</v>
      </c>
      <c r="T11" s="17"/>
      <c r="U11" s="1"/>
      <c r="V11" s="17"/>
      <c r="W11" s="1"/>
      <c r="X11" s="17"/>
      <c r="Y11" s="1"/>
      <c r="Z11" s="1"/>
      <c r="AA11" s="1"/>
      <c r="AB11" s="2" t="s">
        <v>293</v>
      </c>
      <c r="AC11" s="2" t="s">
        <v>294</v>
      </c>
      <c r="AD11" s="2" t="s">
        <v>295</v>
      </c>
      <c r="AE11" s="2" t="s">
        <v>296</v>
      </c>
      <c r="AF11" s="2" t="s">
        <v>297</v>
      </c>
      <c r="AG11" s="2" t="s">
        <v>257</v>
      </c>
      <c r="AH11" s="2" t="s">
        <v>298</v>
      </c>
      <c r="AI11" s="2" t="s">
        <v>299</v>
      </c>
      <c r="AJ11" s="2" t="s">
        <v>300</v>
      </c>
      <c r="AK11" s="1"/>
      <c r="AL11" s="2" t="s">
        <v>284</v>
      </c>
      <c r="AM11" s="2" t="s">
        <v>90</v>
      </c>
      <c r="AN11" s="2" t="s">
        <v>301</v>
      </c>
      <c r="AO11" s="4" t="s">
        <v>202</v>
      </c>
    </row>
    <row r="12" spans="1:41" ht="33" customHeight="1" x14ac:dyDescent="0.25">
      <c r="A12" s="2" t="s">
        <v>264</v>
      </c>
      <c r="B12" s="2" t="s">
        <v>51</v>
      </c>
      <c r="C12" s="2" t="s">
        <v>263</v>
      </c>
      <c r="D12" s="8">
        <v>64400</v>
      </c>
      <c r="E12" s="15">
        <v>46091.614004629628</v>
      </c>
      <c r="F12" s="15">
        <v>46146</v>
      </c>
      <c r="G12" s="2" t="s">
        <v>57</v>
      </c>
      <c r="H12" s="11" t="s">
        <v>265</v>
      </c>
      <c r="I12" s="2" t="s">
        <v>266</v>
      </c>
      <c r="J12" s="2" t="s">
        <v>267</v>
      </c>
      <c r="K12" s="2" t="s">
        <v>268</v>
      </c>
      <c r="L12" s="2" t="s">
        <v>125</v>
      </c>
      <c r="M12" s="15">
        <v>46100</v>
      </c>
      <c r="N12" s="2" t="s">
        <v>269</v>
      </c>
      <c r="O12" s="15">
        <v>46112</v>
      </c>
      <c r="P12" s="2" t="s">
        <v>270</v>
      </c>
      <c r="Q12" s="2" t="s">
        <v>271</v>
      </c>
      <c r="R12" s="17"/>
      <c r="S12" s="1"/>
      <c r="T12" s="17"/>
      <c r="U12" s="1"/>
      <c r="V12" s="17"/>
      <c r="W12" s="1"/>
      <c r="X12" s="17"/>
      <c r="Y12" s="1"/>
      <c r="Z12" s="1"/>
      <c r="AA12" s="2" t="s">
        <v>272</v>
      </c>
      <c r="AB12" s="2" t="s">
        <v>273</v>
      </c>
      <c r="AC12" s="2" t="s">
        <v>274</v>
      </c>
      <c r="AD12" s="2" t="s">
        <v>275</v>
      </c>
      <c r="AE12" s="2" t="s">
        <v>276</v>
      </c>
      <c r="AF12" s="2" t="s">
        <v>277</v>
      </c>
      <c r="AG12" s="2" t="s">
        <v>71</v>
      </c>
      <c r="AH12" s="2" t="s">
        <v>278</v>
      </c>
      <c r="AI12" s="2" t="s">
        <v>279</v>
      </c>
      <c r="AJ12" s="2" t="s">
        <v>280</v>
      </c>
      <c r="AK12" s="1"/>
      <c r="AL12" s="1"/>
      <c r="AM12" s="2" t="s">
        <v>90</v>
      </c>
      <c r="AN12" s="2" t="s">
        <v>281</v>
      </c>
      <c r="AO12" s="4" t="s">
        <v>282</v>
      </c>
    </row>
    <row r="13" spans="1:41" ht="33" customHeight="1" x14ac:dyDescent="0.25">
      <c r="A13" s="2" t="s">
        <v>1167</v>
      </c>
      <c r="B13" s="2" t="s">
        <v>51</v>
      </c>
      <c r="C13" s="2" t="s">
        <v>1166</v>
      </c>
      <c r="D13" s="8">
        <v>82500</v>
      </c>
      <c r="E13" s="15">
        <v>45896.444467592592</v>
      </c>
      <c r="F13" s="15">
        <v>46099</v>
      </c>
      <c r="G13" s="2" t="s">
        <v>52</v>
      </c>
      <c r="H13" s="11">
        <v>5524992770455</v>
      </c>
      <c r="I13" s="2" t="s">
        <v>1169</v>
      </c>
      <c r="J13" s="2" t="s">
        <v>1170</v>
      </c>
      <c r="K13" s="2" t="s">
        <v>1171</v>
      </c>
      <c r="L13" s="2" t="s">
        <v>46</v>
      </c>
      <c r="M13" s="15">
        <v>45915</v>
      </c>
      <c r="N13" s="2" t="s">
        <v>1172</v>
      </c>
      <c r="O13" s="15">
        <v>45929</v>
      </c>
      <c r="P13" s="2" t="s">
        <v>1173</v>
      </c>
      <c r="Q13" s="2" t="s">
        <v>1174</v>
      </c>
      <c r="R13" s="15">
        <v>45940</v>
      </c>
      <c r="S13" s="2" t="s">
        <v>1175</v>
      </c>
      <c r="T13" s="15">
        <v>45966</v>
      </c>
      <c r="U13" s="2" t="s">
        <v>1176</v>
      </c>
      <c r="V13" s="15">
        <v>45966</v>
      </c>
      <c r="W13" s="2" t="s">
        <v>1177</v>
      </c>
      <c r="X13" s="15">
        <v>45973</v>
      </c>
      <c r="Y13" s="2" t="s">
        <v>1178</v>
      </c>
      <c r="Z13" s="1"/>
      <c r="AA13" s="1"/>
      <c r="AB13" s="2" t="s">
        <v>331</v>
      </c>
      <c r="AC13" s="1"/>
      <c r="AD13" s="1"/>
      <c r="AE13" s="1"/>
      <c r="AF13" s="1"/>
      <c r="AG13" s="2" t="s">
        <v>71</v>
      </c>
      <c r="AH13" s="2" t="s">
        <v>1179</v>
      </c>
      <c r="AI13" s="2" t="s">
        <v>1180</v>
      </c>
      <c r="AJ13" s="2" t="s">
        <v>1181</v>
      </c>
      <c r="AK13" s="2" t="s">
        <v>625</v>
      </c>
      <c r="AL13" s="2" t="s">
        <v>1168</v>
      </c>
      <c r="AM13" s="2" t="s">
        <v>1182</v>
      </c>
      <c r="AN13" s="2" t="s">
        <v>1183</v>
      </c>
      <c r="AO13" s="4" t="s">
        <v>522</v>
      </c>
    </row>
    <row r="14" spans="1:41" ht="33" customHeight="1" x14ac:dyDescent="0.25">
      <c r="A14" s="2" t="s">
        <v>370</v>
      </c>
      <c r="B14" s="2" t="s">
        <v>51</v>
      </c>
      <c r="C14" s="2" t="s">
        <v>369</v>
      </c>
      <c r="D14" s="8">
        <v>12900</v>
      </c>
      <c r="E14" s="15">
        <v>46072.514606481483</v>
      </c>
      <c r="F14" s="15">
        <v>46100</v>
      </c>
      <c r="G14" s="2" t="s">
        <v>57</v>
      </c>
      <c r="H14" s="11">
        <v>5547996210662</v>
      </c>
      <c r="I14" s="2" t="s">
        <v>372</v>
      </c>
      <c r="J14" s="2" t="s">
        <v>373</v>
      </c>
      <c r="K14" s="2" t="s">
        <v>374</v>
      </c>
      <c r="L14" s="2" t="s">
        <v>107</v>
      </c>
      <c r="M14" s="17"/>
      <c r="N14" s="1"/>
      <c r="O14" s="17"/>
      <c r="P14" s="1"/>
      <c r="Q14" s="2" t="s">
        <v>375</v>
      </c>
      <c r="R14" s="17"/>
      <c r="S14" s="1"/>
      <c r="T14" s="17"/>
      <c r="U14" s="1"/>
      <c r="V14" s="17"/>
      <c r="W14" s="1"/>
      <c r="X14" s="17"/>
      <c r="Y14" s="1"/>
      <c r="Z14" s="1"/>
      <c r="AA14" s="1"/>
      <c r="AB14" s="2" t="s">
        <v>376</v>
      </c>
      <c r="AC14" s="2" t="s">
        <v>377</v>
      </c>
      <c r="AD14" s="2" t="s">
        <v>378</v>
      </c>
      <c r="AE14" s="2" t="s">
        <v>379</v>
      </c>
      <c r="AF14" s="2" t="s">
        <v>380</v>
      </c>
      <c r="AG14" s="2" t="s">
        <v>53</v>
      </c>
      <c r="AH14" s="2" t="s">
        <v>381</v>
      </c>
      <c r="AI14" s="2" t="s">
        <v>382</v>
      </c>
      <c r="AJ14" s="2" t="s">
        <v>383</v>
      </c>
      <c r="AK14" s="1"/>
      <c r="AL14" s="2" t="s">
        <v>371</v>
      </c>
      <c r="AM14" s="2" t="s">
        <v>157</v>
      </c>
      <c r="AN14" s="2" t="s">
        <v>384</v>
      </c>
      <c r="AO14" s="4" t="s">
        <v>154</v>
      </c>
    </row>
    <row r="15" spans="1:41" ht="33" customHeight="1" x14ac:dyDescent="0.25">
      <c r="A15" s="2" t="s">
        <v>576</v>
      </c>
      <c r="B15" s="2" t="s">
        <v>54</v>
      </c>
      <c r="C15" s="2" t="s">
        <v>575</v>
      </c>
      <c r="D15" s="8">
        <v>82500</v>
      </c>
      <c r="E15" s="15">
        <v>46041.728784722225</v>
      </c>
      <c r="F15" s="15">
        <v>46077</v>
      </c>
      <c r="G15" s="2" t="s">
        <v>42</v>
      </c>
      <c r="H15" s="11">
        <v>5511976524476</v>
      </c>
      <c r="I15" s="2" t="s">
        <v>578</v>
      </c>
      <c r="J15" s="2" t="s">
        <v>579</v>
      </c>
      <c r="K15" s="2" t="s">
        <v>580</v>
      </c>
      <c r="L15" s="2" t="s">
        <v>46</v>
      </c>
      <c r="M15" s="15">
        <v>46062</v>
      </c>
      <c r="N15" s="2" t="s">
        <v>581</v>
      </c>
      <c r="O15" s="15">
        <v>46077</v>
      </c>
      <c r="P15" s="2" t="s">
        <v>582</v>
      </c>
      <c r="Q15" s="2" t="s">
        <v>583</v>
      </c>
      <c r="R15" s="17"/>
      <c r="S15" s="1"/>
      <c r="T15" s="17"/>
      <c r="U15" s="1"/>
      <c r="V15" s="17"/>
      <c r="W15" s="1"/>
      <c r="X15" s="17"/>
      <c r="Y15" s="1"/>
      <c r="Z15" s="2" t="s">
        <v>584</v>
      </c>
      <c r="AA15" s="1"/>
      <c r="AB15" s="2" t="s">
        <v>331</v>
      </c>
      <c r="AC15" s="2" t="s">
        <v>585</v>
      </c>
      <c r="AD15" s="2" t="s">
        <v>586</v>
      </c>
      <c r="AE15" s="2" t="s">
        <v>587</v>
      </c>
      <c r="AF15" s="2" t="s">
        <v>588</v>
      </c>
      <c r="AG15" s="2" t="s">
        <v>94</v>
      </c>
      <c r="AH15" s="2" t="s">
        <v>589</v>
      </c>
      <c r="AI15" s="2" t="s">
        <v>590</v>
      </c>
      <c r="AJ15" s="2" t="s">
        <v>591</v>
      </c>
      <c r="AK15" s="2" t="s">
        <v>99</v>
      </c>
      <c r="AL15" s="2" t="s">
        <v>577</v>
      </c>
      <c r="AM15" s="2" t="s">
        <v>592</v>
      </c>
      <c r="AN15" s="2" t="s">
        <v>593</v>
      </c>
      <c r="AO15" s="4" t="s">
        <v>158</v>
      </c>
    </row>
    <row r="16" spans="1:41" ht="33" customHeight="1" x14ac:dyDescent="0.25">
      <c r="A16" s="2" t="s">
        <v>204</v>
      </c>
      <c r="B16" s="2" t="s">
        <v>51</v>
      </c>
      <c r="C16" s="2" t="s">
        <v>203</v>
      </c>
      <c r="D16" s="8">
        <v>29910</v>
      </c>
      <c r="E16" s="15">
        <v>46093.808715277781</v>
      </c>
      <c r="F16" s="15">
        <v>46112</v>
      </c>
      <c r="G16" s="2" t="s">
        <v>52</v>
      </c>
      <c r="H16" s="11">
        <v>551133271900</v>
      </c>
      <c r="I16" s="2" t="s">
        <v>206</v>
      </c>
      <c r="J16" s="2" t="s">
        <v>207</v>
      </c>
      <c r="K16" s="2" t="s">
        <v>208</v>
      </c>
      <c r="L16" s="2" t="s">
        <v>62</v>
      </c>
      <c r="M16" s="15">
        <v>46105</v>
      </c>
      <c r="N16" s="2" t="s">
        <v>209</v>
      </c>
      <c r="O16" s="17"/>
      <c r="P16" s="1"/>
      <c r="Q16" s="2" t="s">
        <v>210</v>
      </c>
      <c r="R16" s="17"/>
      <c r="S16" s="1"/>
      <c r="T16" s="17"/>
      <c r="U16" s="1"/>
      <c r="V16" s="17"/>
      <c r="W16" s="1"/>
      <c r="X16" s="17"/>
      <c r="Y16" s="1"/>
      <c r="Z16" s="1"/>
      <c r="AA16" s="1"/>
      <c r="AB16" s="2" t="s">
        <v>211</v>
      </c>
      <c r="AC16" s="2" t="s">
        <v>212</v>
      </c>
      <c r="AD16" s="2" t="s">
        <v>213</v>
      </c>
      <c r="AE16" s="2" t="s">
        <v>214</v>
      </c>
      <c r="AF16" s="2" t="s">
        <v>215</v>
      </c>
      <c r="AG16" s="2" t="s">
        <v>71</v>
      </c>
      <c r="AH16" s="2" t="s">
        <v>216</v>
      </c>
      <c r="AI16" s="2" t="s">
        <v>217</v>
      </c>
      <c r="AJ16" s="2" t="s">
        <v>218</v>
      </c>
      <c r="AK16" s="2" t="s">
        <v>219</v>
      </c>
      <c r="AL16" s="2" t="s">
        <v>205</v>
      </c>
      <c r="AM16" s="2" t="s">
        <v>90</v>
      </c>
      <c r="AN16" s="2" t="s">
        <v>79</v>
      </c>
      <c r="AO16" s="4" t="s">
        <v>80</v>
      </c>
    </row>
    <row r="17" spans="1:41" ht="33" customHeight="1" x14ac:dyDescent="0.25">
      <c r="A17" s="2" t="s">
        <v>1049</v>
      </c>
      <c r="B17" s="2" t="s">
        <v>51</v>
      </c>
      <c r="C17" s="2" t="s">
        <v>1048</v>
      </c>
      <c r="D17" s="8">
        <v>211700</v>
      </c>
      <c r="E17" s="15">
        <v>45945.375636574077</v>
      </c>
      <c r="F17" s="15">
        <v>46094</v>
      </c>
      <c r="G17" s="2" t="s">
        <v>57</v>
      </c>
      <c r="H17" s="11">
        <v>554521031043</v>
      </c>
      <c r="I17" s="2" t="s">
        <v>1051</v>
      </c>
      <c r="J17" s="2" t="s">
        <v>1052</v>
      </c>
      <c r="K17" s="2" t="s">
        <v>1053</v>
      </c>
      <c r="L17" s="2" t="s">
        <v>62</v>
      </c>
      <c r="M17" s="15">
        <v>45966</v>
      </c>
      <c r="N17" s="2" t="s">
        <v>1054</v>
      </c>
      <c r="O17" s="15">
        <v>45979</v>
      </c>
      <c r="P17" s="2" t="s">
        <v>1055</v>
      </c>
      <c r="Q17" s="2" t="s">
        <v>1056</v>
      </c>
      <c r="R17" s="15">
        <v>46038</v>
      </c>
      <c r="S17" s="2" t="s">
        <v>1057</v>
      </c>
      <c r="T17" s="17"/>
      <c r="U17" s="1"/>
      <c r="V17" s="17"/>
      <c r="W17" s="1"/>
      <c r="X17" s="17"/>
      <c r="Y17" s="1"/>
      <c r="Z17" s="1"/>
      <c r="AA17" s="1"/>
      <c r="AB17" s="2" t="s">
        <v>1048</v>
      </c>
      <c r="AC17" s="2" t="s">
        <v>1058</v>
      </c>
      <c r="AD17" s="2" t="s">
        <v>1059</v>
      </c>
      <c r="AE17" s="2" t="s">
        <v>1060</v>
      </c>
      <c r="AF17" s="2" t="s">
        <v>1061</v>
      </c>
      <c r="AG17" s="2" t="s">
        <v>85</v>
      </c>
      <c r="AH17" s="2" t="s">
        <v>1062</v>
      </c>
      <c r="AI17" s="2" t="s">
        <v>1063</v>
      </c>
      <c r="AJ17" s="2" t="s">
        <v>1064</v>
      </c>
      <c r="AK17" s="2" t="s">
        <v>726</v>
      </c>
      <c r="AL17" s="2" t="s">
        <v>1050</v>
      </c>
      <c r="AM17" s="2" t="s">
        <v>747</v>
      </c>
      <c r="AN17" s="2" t="s">
        <v>1065</v>
      </c>
      <c r="AO17" s="4" t="s">
        <v>202</v>
      </c>
    </row>
    <row r="18" spans="1:41" ht="33" customHeight="1" x14ac:dyDescent="0.25">
      <c r="A18" s="2" t="s">
        <v>944</v>
      </c>
      <c r="B18" s="2" t="s">
        <v>41</v>
      </c>
      <c r="C18" s="2" t="s">
        <v>943</v>
      </c>
      <c r="D18" s="8">
        <v>82500</v>
      </c>
      <c r="E18" s="15">
        <v>45968.365486111114</v>
      </c>
      <c r="F18" s="15">
        <v>46087</v>
      </c>
      <c r="G18" s="2" t="s">
        <v>45</v>
      </c>
      <c r="H18" s="11">
        <v>5511939043363</v>
      </c>
      <c r="I18" s="2" t="s">
        <v>946</v>
      </c>
      <c r="J18" s="2" t="s">
        <v>947</v>
      </c>
      <c r="K18" s="2" t="s">
        <v>948</v>
      </c>
      <c r="L18" s="2" t="s">
        <v>46</v>
      </c>
      <c r="M18" s="15">
        <v>46000</v>
      </c>
      <c r="N18" s="2" t="s">
        <v>949</v>
      </c>
      <c r="O18" s="15">
        <v>46037</v>
      </c>
      <c r="P18" s="2" t="s">
        <v>950</v>
      </c>
      <c r="Q18" s="2" t="s">
        <v>951</v>
      </c>
      <c r="R18" s="15">
        <v>46076</v>
      </c>
      <c r="S18" s="2" t="s">
        <v>952</v>
      </c>
      <c r="T18" s="15">
        <v>46078</v>
      </c>
      <c r="U18" s="2" t="s">
        <v>953</v>
      </c>
      <c r="V18" s="17"/>
      <c r="W18" s="1"/>
      <c r="X18" s="17"/>
      <c r="Y18" s="1"/>
      <c r="Z18" s="1"/>
      <c r="AA18" s="1"/>
      <c r="AB18" s="2" t="s">
        <v>954</v>
      </c>
      <c r="AC18" s="2" t="s">
        <v>955</v>
      </c>
      <c r="AD18" s="2" t="s">
        <v>956</v>
      </c>
      <c r="AE18" s="2" t="s">
        <v>957</v>
      </c>
      <c r="AF18" s="2" t="s">
        <v>958</v>
      </c>
      <c r="AG18" s="2" t="s">
        <v>94</v>
      </c>
      <c r="AH18" s="2" t="s">
        <v>959</v>
      </c>
      <c r="AI18" s="2" t="s">
        <v>960</v>
      </c>
      <c r="AJ18" s="2" t="s">
        <v>961</v>
      </c>
      <c r="AK18" s="2" t="s">
        <v>962</v>
      </c>
      <c r="AL18" s="2" t="s">
        <v>945</v>
      </c>
      <c r="AM18" s="2" t="s">
        <v>942</v>
      </c>
      <c r="AN18" s="2" t="s">
        <v>79</v>
      </c>
      <c r="AO18" s="4" t="s">
        <v>80</v>
      </c>
    </row>
    <row r="19" spans="1:41" ht="33" customHeight="1" x14ac:dyDescent="0.25">
      <c r="A19" s="2" t="s">
        <v>762</v>
      </c>
      <c r="B19" s="2" t="s">
        <v>78</v>
      </c>
      <c r="C19" s="2" t="s">
        <v>761</v>
      </c>
      <c r="D19" s="8">
        <v>18513</v>
      </c>
      <c r="E19" s="15">
        <v>46013.771898148145</v>
      </c>
      <c r="F19" s="15">
        <v>46037</v>
      </c>
      <c r="G19" s="2" t="s">
        <v>47</v>
      </c>
      <c r="H19" s="11">
        <v>555496356200</v>
      </c>
      <c r="I19" s="2" t="s">
        <v>763</v>
      </c>
      <c r="J19" s="2" t="s">
        <v>764</v>
      </c>
      <c r="K19" s="2" t="s">
        <v>765</v>
      </c>
      <c r="L19" s="2" t="s">
        <v>62</v>
      </c>
      <c r="M19" s="15">
        <v>46027</v>
      </c>
      <c r="N19" s="2" t="s">
        <v>502</v>
      </c>
      <c r="O19" s="17"/>
      <c r="P19" s="1"/>
      <c r="Q19" s="2" t="s">
        <v>766</v>
      </c>
      <c r="R19" s="17"/>
      <c r="S19" s="1"/>
      <c r="T19" s="17"/>
      <c r="U19" s="1"/>
      <c r="V19" s="17"/>
      <c r="W19" s="1"/>
      <c r="X19" s="15">
        <v>46030</v>
      </c>
      <c r="Y19" s="2" t="s">
        <v>767</v>
      </c>
      <c r="Z19" s="1"/>
      <c r="AA19" s="1"/>
      <c r="AB19" s="2" t="s">
        <v>192</v>
      </c>
      <c r="AC19" s="2" t="s">
        <v>92</v>
      </c>
      <c r="AD19" s="2" t="s">
        <v>92</v>
      </c>
      <c r="AE19" s="2" t="s">
        <v>92</v>
      </c>
      <c r="AF19" s="2" t="s">
        <v>92</v>
      </c>
      <c r="AG19" s="2" t="s">
        <v>94</v>
      </c>
      <c r="AH19" s="2" t="s">
        <v>768</v>
      </c>
      <c r="AI19" s="2" t="s">
        <v>769</v>
      </c>
      <c r="AJ19" s="2" t="s">
        <v>770</v>
      </c>
      <c r="AK19" s="2" t="s">
        <v>95</v>
      </c>
      <c r="AL19" s="1"/>
      <c r="AM19" s="2" t="s">
        <v>385</v>
      </c>
      <c r="AN19" s="2" t="s">
        <v>771</v>
      </c>
      <c r="AO19" s="3"/>
    </row>
    <row r="20" spans="1:41" ht="33" customHeight="1" x14ac:dyDescent="0.25">
      <c r="A20" s="2" t="s">
        <v>929</v>
      </c>
      <c r="B20" s="2" t="s">
        <v>41</v>
      </c>
      <c r="C20" s="2" t="s">
        <v>159</v>
      </c>
      <c r="D20" s="8">
        <v>29700</v>
      </c>
      <c r="E20" s="15">
        <v>45974.428506944445</v>
      </c>
      <c r="F20" s="15">
        <v>46028</v>
      </c>
      <c r="G20" s="2" t="s">
        <v>57</v>
      </c>
      <c r="H20" s="11">
        <f>5511982703370 +5511982703370</f>
        <v>11023965406740</v>
      </c>
      <c r="I20" s="2" t="s">
        <v>931</v>
      </c>
      <c r="J20" s="2" t="s">
        <v>932</v>
      </c>
      <c r="K20" s="2" t="s">
        <v>933</v>
      </c>
      <c r="L20" s="2" t="s">
        <v>125</v>
      </c>
      <c r="M20" s="15">
        <v>45985</v>
      </c>
      <c r="N20" s="2" t="s">
        <v>934</v>
      </c>
      <c r="O20" s="15">
        <v>45995</v>
      </c>
      <c r="P20" s="2" t="s">
        <v>935</v>
      </c>
      <c r="Q20" s="2" t="s">
        <v>936</v>
      </c>
      <c r="R20" s="17"/>
      <c r="S20" s="1"/>
      <c r="T20" s="17"/>
      <c r="U20" s="1"/>
      <c r="V20" s="17"/>
      <c r="W20" s="1"/>
      <c r="X20" s="17"/>
      <c r="Y20" s="1"/>
      <c r="Z20" s="1"/>
      <c r="AA20" s="1"/>
      <c r="AB20" s="2" t="s">
        <v>937</v>
      </c>
      <c r="AC20" s="1"/>
      <c r="AD20" s="1"/>
      <c r="AE20" s="1"/>
      <c r="AF20" s="1"/>
      <c r="AG20" s="2" t="s">
        <v>71</v>
      </c>
      <c r="AH20" s="2" t="s">
        <v>938</v>
      </c>
      <c r="AI20" s="2" t="s">
        <v>939</v>
      </c>
      <c r="AJ20" s="2" t="s">
        <v>940</v>
      </c>
      <c r="AK20" s="2" t="s">
        <v>941</v>
      </c>
      <c r="AL20" s="2" t="s">
        <v>930</v>
      </c>
      <c r="AM20" s="2" t="s">
        <v>942</v>
      </c>
      <c r="AN20" s="2" t="s">
        <v>79</v>
      </c>
      <c r="AO20" s="4" t="s">
        <v>80</v>
      </c>
    </row>
    <row r="21" spans="1:41" ht="33" customHeight="1" x14ac:dyDescent="0.25">
      <c r="A21" s="2" t="s">
        <v>1215</v>
      </c>
      <c r="B21" s="2" t="s">
        <v>41</v>
      </c>
      <c r="C21" s="2" t="s">
        <v>1214</v>
      </c>
      <c r="D21" s="8">
        <v>346200</v>
      </c>
      <c r="E21" s="15">
        <v>45837.617893518516</v>
      </c>
      <c r="F21" s="15">
        <v>46058</v>
      </c>
      <c r="G21" s="2" t="s">
        <v>57</v>
      </c>
      <c r="H21" s="11">
        <v>5511994069861</v>
      </c>
      <c r="I21" s="2" t="s">
        <v>1217</v>
      </c>
      <c r="J21" s="2" t="s">
        <v>1218</v>
      </c>
      <c r="K21" s="2" t="s">
        <v>1219</v>
      </c>
      <c r="L21" s="2" t="s">
        <v>345</v>
      </c>
      <c r="M21" s="15">
        <v>45881</v>
      </c>
      <c r="N21" s="2" t="s">
        <v>1220</v>
      </c>
      <c r="O21" s="15">
        <v>45912</v>
      </c>
      <c r="P21" s="2" t="s">
        <v>1221</v>
      </c>
      <c r="Q21" s="1"/>
      <c r="R21" s="15">
        <v>45929</v>
      </c>
      <c r="S21" s="2" t="s">
        <v>1222</v>
      </c>
      <c r="T21" s="15">
        <v>45947</v>
      </c>
      <c r="U21" s="2" t="s">
        <v>1223</v>
      </c>
      <c r="V21" s="17"/>
      <c r="W21" s="1"/>
      <c r="X21" s="17"/>
      <c r="Y21" s="1"/>
      <c r="Z21" s="1"/>
      <c r="AA21" s="1"/>
      <c r="AB21" s="1"/>
      <c r="AC21" s="1"/>
      <c r="AD21" s="1"/>
      <c r="AE21" s="1"/>
      <c r="AF21" s="1"/>
      <c r="AG21" s="2" t="s">
        <v>85</v>
      </c>
      <c r="AH21" s="2" t="s">
        <v>1224</v>
      </c>
      <c r="AI21" s="2" t="s">
        <v>1225</v>
      </c>
      <c r="AJ21" s="2" t="s">
        <v>1226</v>
      </c>
      <c r="AK21" s="2" t="s">
        <v>1227</v>
      </c>
      <c r="AL21" s="2" t="s">
        <v>1216</v>
      </c>
      <c r="AM21" s="2" t="s">
        <v>747</v>
      </c>
      <c r="AN21" s="2" t="s">
        <v>1228</v>
      </c>
      <c r="AO21" s="4" t="s">
        <v>80</v>
      </c>
    </row>
    <row r="22" spans="1:41" ht="33" customHeight="1" x14ac:dyDescent="0.25">
      <c r="A22" s="2" t="s">
        <v>555</v>
      </c>
      <c r="B22" s="2" t="s">
        <v>78</v>
      </c>
      <c r="C22" s="2" t="s">
        <v>554</v>
      </c>
      <c r="D22" s="8">
        <v>30120</v>
      </c>
      <c r="E22" s="15">
        <v>46042.428460648145</v>
      </c>
      <c r="F22" s="15">
        <v>46077</v>
      </c>
      <c r="G22" s="2" t="s">
        <v>57</v>
      </c>
      <c r="H22" s="11">
        <v>5511963515344</v>
      </c>
      <c r="I22" s="2" t="s">
        <v>557</v>
      </c>
      <c r="J22" s="2" t="s">
        <v>558</v>
      </c>
      <c r="K22" s="2" t="s">
        <v>559</v>
      </c>
      <c r="L22" s="2" t="s">
        <v>125</v>
      </c>
      <c r="M22" s="15">
        <v>46057</v>
      </c>
      <c r="N22" s="2" t="s">
        <v>560</v>
      </c>
      <c r="O22" s="15">
        <v>46062</v>
      </c>
      <c r="P22" s="2" t="s">
        <v>561</v>
      </c>
      <c r="Q22" s="2" t="s">
        <v>562</v>
      </c>
      <c r="R22" s="15">
        <v>46065</v>
      </c>
      <c r="S22" s="2" t="s">
        <v>563</v>
      </c>
      <c r="T22" s="15">
        <v>46072</v>
      </c>
      <c r="U22" s="2" t="s">
        <v>564</v>
      </c>
      <c r="V22" s="15">
        <v>46076</v>
      </c>
      <c r="W22" s="2" t="s">
        <v>565</v>
      </c>
      <c r="X22" s="17"/>
      <c r="Y22" s="1"/>
      <c r="Z22" s="1"/>
      <c r="AA22" s="1"/>
      <c r="AB22" s="2" t="s">
        <v>566</v>
      </c>
      <c r="AC22" s="2" t="s">
        <v>567</v>
      </c>
      <c r="AD22" s="2" t="s">
        <v>568</v>
      </c>
      <c r="AE22" s="2" t="s">
        <v>569</v>
      </c>
      <c r="AF22" s="2" t="s">
        <v>570</v>
      </c>
      <c r="AG22" s="2" t="s">
        <v>53</v>
      </c>
      <c r="AH22" s="2" t="s">
        <v>571</v>
      </c>
      <c r="AI22" s="2" t="s">
        <v>572</v>
      </c>
      <c r="AJ22" s="2" t="s">
        <v>573</v>
      </c>
      <c r="AK22" s="2" t="s">
        <v>574</v>
      </c>
      <c r="AL22" s="2" t="s">
        <v>556</v>
      </c>
      <c r="AM22" s="2" t="s">
        <v>162</v>
      </c>
      <c r="AN22" s="2" t="s">
        <v>79</v>
      </c>
      <c r="AO22" s="4" t="s">
        <v>80</v>
      </c>
    </row>
    <row r="23" spans="1:41" ht="33" customHeight="1" x14ac:dyDescent="0.25">
      <c r="A23" s="2" t="s">
        <v>505</v>
      </c>
      <c r="B23" s="2" t="s">
        <v>51</v>
      </c>
      <c r="C23" s="2" t="s">
        <v>504</v>
      </c>
      <c r="D23" s="8">
        <v>29212</v>
      </c>
      <c r="E23" s="15">
        <v>46052.461412037039</v>
      </c>
      <c r="F23" s="15">
        <v>46127</v>
      </c>
      <c r="G23" s="2" t="s">
        <v>57</v>
      </c>
      <c r="H23" s="11">
        <v>5527998333265</v>
      </c>
      <c r="I23" s="2" t="s">
        <v>507</v>
      </c>
      <c r="J23" s="2" t="s">
        <v>508</v>
      </c>
      <c r="K23" s="2" t="s">
        <v>509</v>
      </c>
      <c r="L23" s="2" t="s">
        <v>83</v>
      </c>
      <c r="M23" s="15">
        <v>46063</v>
      </c>
      <c r="N23" s="2" t="s">
        <v>510</v>
      </c>
      <c r="O23" s="15">
        <v>46086</v>
      </c>
      <c r="P23" s="2" t="s">
        <v>511</v>
      </c>
      <c r="Q23" s="2" t="s">
        <v>512</v>
      </c>
      <c r="R23" s="17"/>
      <c r="S23" s="1"/>
      <c r="T23" s="17"/>
      <c r="U23" s="1"/>
      <c r="V23" s="17"/>
      <c r="W23" s="1"/>
      <c r="X23" s="15">
        <v>46063</v>
      </c>
      <c r="Y23" s="2" t="s">
        <v>510</v>
      </c>
      <c r="Z23" s="1"/>
      <c r="AA23" s="2" t="s">
        <v>513</v>
      </c>
      <c r="AB23" s="2" t="s">
        <v>514</v>
      </c>
      <c r="AC23" s="2" t="s">
        <v>515</v>
      </c>
      <c r="AD23" s="2" t="s">
        <v>516</v>
      </c>
      <c r="AE23" s="2" t="s">
        <v>415</v>
      </c>
      <c r="AF23" s="2" t="s">
        <v>517</v>
      </c>
      <c r="AG23" s="2" t="s">
        <v>50</v>
      </c>
      <c r="AH23" s="2" t="s">
        <v>518</v>
      </c>
      <c r="AI23" s="2" t="s">
        <v>519</v>
      </c>
      <c r="AJ23" s="2" t="s">
        <v>503</v>
      </c>
      <c r="AK23" s="2" t="s">
        <v>520</v>
      </c>
      <c r="AL23" s="2" t="s">
        <v>506</v>
      </c>
      <c r="AM23" s="2" t="s">
        <v>521</v>
      </c>
      <c r="AN23" s="2" t="s">
        <v>96</v>
      </c>
      <c r="AO23" s="4" t="s">
        <v>522</v>
      </c>
    </row>
    <row r="24" spans="1:41" ht="33" customHeight="1" x14ac:dyDescent="0.25">
      <c r="A24" s="2" t="s">
        <v>730</v>
      </c>
      <c r="B24" s="2" t="s">
        <v>78</v>
      </c>
      <c r="C24" s="2" t="s">
        <v>729</v>
      </c>
      <c r="D24" s="8">
        <v>199320</v>
      </c>
      <c r="E24" s="15">
        <v>46028.456655092596</v>
      </c>
      <c r="F24" s="15">
        <v>46072</v>
      </c>
      <c r="G24" s="2" t="s">
        <v>57</v>
      </c>
      <c r="H24" s="11">
        <v>5511972839929</v>
      </c>
      <c r="I24" s="2" t="s">
        <v>732</v>
      </c>
      <c r="J24" s="2" t="s">
        <v>733</v>
      </c>
      <c r="K24" s="2" t="s">
        <v>734</v>
      </c>
      <c r="L24" s="2" t="s">
        <v>62</v>
      </c>
      <c r="M24" s="15">
        <v>46037</v>
      </c>
      <c r="N24" s="2" t="s">
        <v>735</v>
      </c>
      <c r="O24" s="15">
        <v>46051</v>
      </c>
      <c r="P24" s="2" t="s">
        <v>736</v>
      </c>
      <c r="Q24" s="2" t="s">
        <v>737</v>
      </c>
      <c r="R24" s="15">
        <v>46057</v>
      </c>
      <c r="S24" s="2" t="s">
        <v>738</v>
      </c>
      <c r="T24" s="15">
        <v>46065</v>
      </c>
      <c r="U24" s="2" t="s">
        <v>739</v>
      </c>
      <c r="V24" s="17"/>
      <c r="W24" s="1"/>
      <c r="X24" s="17"/>
      <c r="Y24" s="1"/>
      <c r="Z24" s="1"/>
      <c r="AA24" s="2" t="s">
        <v>740</v>
      </c>
      <c r="AB24" s="2" t="s">
        <v>741</v>
      </c>
      <c r="AC24" s="2" t="s">
        <v>742</v>
      </c>
      <c r="AD24" s="2" t="s">
        <v>43</v>
      </c>
      <c r="AE24" s="2" t="s">
        <v>743</v>
      </c>
      <c r="AF24" s="2" t="s">
        <v>744</v>
      </c>
      <c r="AG24" s="2" t="s">
        <v>342</v>
      </c>
      <c r="AH24" s="2" t="s">
        <v>745</v>
      </c>
      <c r="AI24" s="2" t="s">
        <v>746</v>
      </c>
      <c r="AJ24" s="2" t="s">
        <v>201</v>
      </c>
      <c r="AK24" s="2" t="s">
        <v>482</v>
      </c>
      <c r="AL24" s="2" t="s">
        <v>731</v>
      </c>
      <c r="AM24" s="2" t="s">
        <v>747</v>
      </c>
      <c r="AN24" s="2" t="s">
        <v>748</v>
      </c>
      <c r="AO24" s="4" t="s">
        <v>80</v>
      </c>
    </row>
    <row r="25" spans="1:41" ht="33" customHeight="1" x14ac:dyDescent="0.25">
      <c r="A25" s="2" t="s">
        <v>303</v>
      </c>
      <c r="B25" s="2" t="s">
        <v>51</v>
      </c>
      <c r="C25" s="2" t="s">
        <v>302</v>
      </c>
      <c r="D25" s="8">
        <v>55600</v>
      </c>
      <c r="E25" s="15">
        <v>46087.655115740738</v>
      </c>
      <c r="F25" s="15">
        <v>46112</v>
      </c>
      <c r="G25" s="2" t="s">
        <v>42</v>
      </c>
      <c r="H25" s="11">
        <v>5521976160716</v>
      </c>
      <c r="I25" s="2" t="s">
        <v>305</v>
      </c>
      <c r="J25" s="2" t="s">
        <v>306</v>
      </c>
      <c r="K25" s="2" t="s">
        <v>307</v>
      </c>
      <c r="L25" s="2" t="s">
        <v>125</v>
      </c>
      <c r="M25" s="15">
        <v>46100</v>
      </c>
      <c r="N25" s="2" t="s">
        <v>308</v>
      </c>
      <c r="O25" s="15">
        <v>46106</v>
      </c>
      <c r="P25" s="2" t="s">
        <v>309</v>
      </c>
      <c r="Q25" s="2" t="s">
        <v>310</v>
      </c>
      <c r="R25" s="17"/>
      <c r="S25" s="1"/>
      <c r="T25" s="17"/>
      <c r="U25" s="1"/>
      <c r="V25" s="17"/>
      <c r="W25" s="1"/>
      <c r="X25" s="17"/>
      <c r="Y25" s="1"/>
      <c r="Z25" s="1"/>
      <c r="AA25" s="1"/>
      <c r="AB25" s="2" t="s">
        <v>311</v>
      </c>
      <c r="AC25" s="2" t="s">
        <v>312</v>
      </c>
      <c r="AD25" s="2" t="s">
        <v>313</v>
      </c>
      <c r="AE25" s="2" t="s">
        <v>314</v>
      </c>
      <c r="AF25" s="2" t="s">
        <v>315</v>
      </c>
      <c r="AG25" s="2" t="s">
        <v>85</v>
      </c>
      <c r="AH25" s="2" t="s">
        <v>316</v>
      </c>
      <c r="AI25" s="2" t="s">
        <v>317</v>
      </c>
      <c r="AJ25" s="2" t="s">
        <v>318</v>
      </c>
      <c r="AK25" s="2" t="s">
        <v>319</v>
      </c>
      <c r="AL25" s="2" t="s">
        <v>304</v>
      </c>
      <c r="AM25" s="2" t="s">
        <v>181</v>
      </c>
      <c r="AN25" s="2" t="s">
        <v>320</v>
      </c>
      <c r="AO25" s="4" t="s">
        <v>80</v>
      </c>
    </row>
    <row r="26" spans="1:41" ht="33" customHeight="1" x14ac:dyDescent="0.25">
      <c r="A26" s="2" t="s">
        <v>1230</v>
      </c>
      <c r="B26" s="2" t="s">
        <v>41</v>
      </c>
      <c r="C26" s="2" t="s">
        <v>1229</v>
      </c>
      <c r="D26" s="8">
        <v>336000</v>
      </c>
      <c r="E26" s="15">
        <v>45793.478090277778</v>
      </c>
      <c r="F26" s="15">
        <v>46028</v>
      </c>
      <c r="G26" s="2" t="s">
        <v>42</v>
      </c>
      <c r="H26" s="11">
        <v>5516981245354</v>
      </c>
      <c r="I26" s="2" t="s">
        <v>1232</v>
      </c>
      <c r="J26" s="2" t="s">
        <v>1233</v>
      </c>
      <c r="K26" s="2" t="s">
        <v>1234</v>
      </c>
      <c r="L26" s="2" t="s">
        <v>345</v>
      </c>
      <c r="M26" s="15">
        <v>45932</v>
      </c>
      <c r="N26" s="2" t="s">
        <v>1235</v>
      </c>
      <c r="O26" s="15">
        <v>45937</v>
      </c>
      <c r="P26" s="2" t="s">
        <v>1236</v>
      </c>
      <c r="Q26" s="2" t="s">
        <v>1237</v>
      </c>
      <c r="R26" s="15">
        <v>45959</v>
      </c>
      <c r="S26" s="2" t="s">
        <v>1238</v>
      </c>
      <c r="T26" s="15">
        <v>45967</v>
      </c>
      <c r="U26" s="2" t="s">
        <v>1239</v>
      </c>
      <c r="V26" s="15">
        <v>45975</v>
      </c>
      <c r="W26" s="2" t="s">
        <v>1240</v>
      </c>
      <c r="X26" s="17"/>
      <c r="Y26" s="1"/>
      <c r="Z26" s="2" t="s">
        <v>1241</v>
      </c>
      <c r="AA26" s="1"/>
      <c r="AB26" s="2" t="s">
        <v>1242</v>
      </c>
      <c r="AC26" s="1"/>
      <c r="AD26" s="1"/>
      <c r="AE26" s="1"/>
      <c r="AF26" s="1"/>
      <c r="AG26" s="2" t="s">
        <v>1023</v>
      </c>
      <c r="AH26" s="2" t="s">
        <v>1243</v>
      </c>
      <c r="AI26" s="2" t="s">
        <v>1244</v>
      </c>
      <c r="AJ26" s="2" t="s">
        <v>1245</v>
      </c>
      <c r="AK26" s="2" t="s">
        <v>156</v>
      </c>
      <c r="AL26" s="2" t="s">
        <v>1231</v>
      </c>
      <c r="AM26" s="2" t="s">
        <v>385</v>
      </c>
      <c r="AN26" s="2" t="s">
        <v>1246</v>
      </c>
      <c r="AO26" s="4" t="s">
        <v>80</v>
      </c>
    </row>
    <row r="27" spans="1:41" ht="33" customHeight="1" x14ac:dyDescent="0.25">
      <c r="A27" s="2" t="s">
        <v>1146</v>
      </c>
      <c r="B27" s="2" t="s">
        <v>41</v>
      </c>
      <c r="C27" s="2" t="s">
        <v>1145</v>
      </c>
      <c r="D27" s="8">
        <v>97500</v>
      </c>
      <c r="E27" s="15">
        <v>45897.350439814814</v>
      </c>
      <c r="F27" s="15">
        <v>46085</v>
      </c>
      <c r="G27" s="2" t="s">
        <v>52</v>
      </c>
      <c r="H27" s="11">
        <v>5511951287966</v>
      </c>
      <c r="I27" s="2" t="s">
        <v>1148</v>
      </c>
      <c r="J27" s="2" t="s">
        <v>1149</v>
      </c>
      <c r="K27" s="2" t="s">
        <v>1150</v>
      </c>
      <c r="L27" s="2" t="s">
        <v>48</v>
      </c>
      <c r="M27" s="15">
        <v>45919</v>
      </c>
      <c r="N27" s="2" t="s">
        <v>1151</v>
      </c>
      <c r="O27" s="15">
        <v>46000</v>
      </c>
      <c r="P27" s="2" t="s">
        <v>1152</v>
      </c>
      <c r="Q27" s="2" t="s">
        <v>1153</v>
      </c>
      <c r="R27" s="15">
        <v>46037</v>
      </c>
      <c r="S27" s="2" t="s">
        <v>1154</v>
      </c>
      <c r="T27" s="15">
        <v>46056</v>
      </c>
      <c r="U27" s="2" t="s">
        <v>1155</v>
      </c>
      <c r="V27" s="15">
        <v>46065</v>
      </c>
      <c r="W27" s="2" t="s">
        <v>1156</v>
      </c>
      <c r="X27" s="17"/>
      <c r="Y27" s="1"/>
      <c r="Z27" s="1"/>
      <c r="AA27" s="1"/>
      <c r="AB27" s="2" t="s">
        <v>445</v>
      </c>
      <c r="AC27" s="2" t="s">
        <v>1157</v>
      </c>
      <c r="AD27" s="2" t="s">
        <v>1158</v>
      </c>
      <c r="AE27" s="2" t="s">
        <v>1159</v>
      </c>
      <c r="AF27" s="2" t="s">
        <v>1160</v>
      </c>
      <c r="AG27" s="2" t="s">
        <v>85</v>
      </c>
      <c r="AH27" s="2" t="s">
        <v>1161</v>
      </c>
      <c r="AI27" s="2" t="s">
        <v>1162</v>
      </c>
      <c r="AJ27" s="2" t="s">
        <v>1163</v>
      </c>
      <c r="AK27" s="2" t="s">
        <v>364</v>
      </c>
      <c r="AL27" s="2" t="s">
        <v>1147</v>
      </c>
      <c r="AM27" s="2" t="s">
        <v>1164</v>
      </c>
      <c r="AN27" s="2" t="s">
        <v>1165</v>
      </c>
      <c r="AO27" s="4" t="s">
        <v>80</v>
      </c>
    </row>
    <row r="28" spans="1:41" ht="33" customHeight="1" x14ac:dyDescent="0.25">
      <c r="A28" s="2" t="s">
        <v>998</v>
      </c>
      <c r="B28" s="2" t="s">
        <v>448</v>
      </c>
      <c r="C28" s="2" t="s">
        <v>997</v>
      </c>
      <c r="D28" s="8">
        <v>175000</v>
      </c>
      <c r="E28" s="15">
        <v>45967.640763888892</v>
      </c>
      <c r="F28" s="15">
        <v>46042</v>
      </c>
      <c r="G28" s="2" t="s">
        <v>42</v>
      </c>
      <c r="H28" s="11">
        <v>5547996076076</v>
      </c>
      <c r="I28" s="2" t="s">
        <v>1000</v>
      </c>
      <c r="J28" s="2" t="s">
        <v>1001</v>
      </c>
      <c r="K28" s="2" t="s">
        <v>1002</v>
      </c>
      <c r="L28" s="2" t="s">
        <v>125</v>
      </c>
      <c r="M28" s="15">
        <v>45971</v>
      </c>
      <c r="N28" s="2" t="s">
        <v>1003</v>
      </c>
      <c r="O28" s="15">
        <v>45989</v>
      </c>
      <c r="P28" s="2" t="s">
        <v>1004</v>
      </c>
      <c r="Q28" s="2" t="s">
        <v>1005</v>
      </c>
      <c r="R28" s="15">
        <v>45995</v>
      </c>
      <c r="S28" s="2" t="s">
        <v>1006</v>
      </c>
      <c r="T28" s="15">
        <v>46028</v>
      </c>
      <c r="U28" s="2" t="s">
        <v>1007</v>
      </c>
      <c r="V28" s="17"/>
      <c r="W28" s="1"/>
      <c r="X28" s="17"/>
      <c r="Y28" s="1"/>
      <c r="Z28" s="1"/>
      <c r="AA28" s="1"/>
      <c r="AB28" s="2" t="s">
        <v>1008</v>
      </c>
      <c r="AC28" s="2" t="s">
        <v>1009</v>
      </c>
      <c r="AD28" s="2" t="s">
        <v>1009</v>
      </c>
      <c r="AE28" s="2" t="s">
        <v>1010</v>
      </c>
      <c r="AF28" s="2" t="s">
        <v>1009</v>
      </c>
      <c r="AG28" s="2" t="s">
        <v>342</v>
      </c>
      <c r="AH28" s="2" t="s">
        <v>1011</v>
      </c>
      <c r="AI28" s="2" t="s">
        <v>797</v>
      </c>
      <c r="AJ28" s="2" t="s">
        <v>1012</v>
      </c>
      <c r="AK28" s="2" t="s">
        <v>866</v>
      </c>
      <c r="AL28" s="2" t="s">
        <v>999</v>
      </c>
      <c r="AM28" s="2" t="s">
        <v>747</v>
      </c>
      <c r="AN28" s="2" t="s">
        <v>1013</v>
      </c>
      <c r="AO28" s="4" t="s">
        <v>154</v>
      </c>
    </row>
    <row r="29" spans="1:41" ht="33" customHeight="1" x14ac:dyDescent="0.25">
      <c r="A29" s="2" t="s">
        <v>788</v>
      </c>
      <c r="B29" s="2" t="s">
        <v>78</v>
      </c>
      <c r="C29" s="2" t="s">
        <v>40</v>
      </c>
      <c r="D29" s="8">
        <v>52615</v>
      </c>
      <c r="E29" s="15">
        <v>46007.480497685188</v>
      </c>
      <c r="F29" s="15">
        <v>46035</v>
      </c>
      <c r="G29" s="2" t="s">
        <v>42</v>
      </c>
      <c r="H29" s="11">
        <v>5551993043551</v>
      </c>
      <c r="I29" s="2" t="s">
        <v>790</v>
      </c>
      <c r="J29" s="2" t="s">
        <v>791</v>
      </c>
      <c r="K29" s="2" t="s">
        <v>792</v>
      </c>
      <c r="L29" s="2" t="s">
        <v>93</v>
      </c>
      <c r="M29" s="15">
        <v>46028</v>
      </c>
      <c r="N29" s="2" t="s">
        <v>793</v>
      </c>
      <c r="O29" s="17"/>
      <c r="P29" s="1"/>
      <c r="Q29" s="2" t="s">
        <v>794</v>
      </c>
      <c r="R29" s="17"/>
      <c r="S29" s="1"/>
      <c r="T29" s="17"/>
      <c r="U29" s="1"/>
      <c r="V29" s="17"/>
      <c r="W29" s="1"/>
      <c r="X29" s="17"/>
      <c r="Y29" s="1"/>
      <c r="Z29" s="1"/>
      <c r="AA29" s="1"/>
      <c r="AB29" s="2" t="s">
        <v>795</v>
      </c>
      <c r="AC29" s="2" t="s">
        <v>92</v>
      </c>
      <c r="AD29" s="2" t="s">
        <v>92</v>
      </c>
      <c r="AE29" s="2" t="s">
        <v>92</v>
      </c>
      <c r="AF29" s="2" t="s">
        <v>92</v>
      </c>
      <c r="AG29" s="2" t="s">
        <v>257</v>
      </c>
      <c r="AH29" s="2" t="s">
        <v>796</v>
      </c>
      <c r="AI29" s="2" t="s">
        <v>797</v>
      </c>
      <c r="AJ29" s="2" t="s">
        <v>798</v>
      </c>
      <c r="AK29" s="2" t="s">
        <v>799</v>
      </c>
      <c r="AL29" s="2" t="s">
        <v>789</v>
      </c>
      <c r="AM29" s="2" t="s">
        <v>800</v>
      </c>
      <c r="AN29" s="2" t="s">
        <v>801</v>
      </c>
      <c r="AO29" s="4" t="s">
        <v>282</v>
      </c>
    </row>
    <row r="30" spans="1:41" ht="33" customHeight="1" x14ac:dyDescent="0.25">
      <c r="A30" s="2" t="s">
        <v>417</v>
      </c>
      <c r="B30" s="2" t="s">
        <v>51</v>
      </c>
      <c r="C30" s="2" t="s">
        <v>416</v>
      </c>
      <c r="D30" s="8">
        <v>28500</v>
      </c>
      <c r="E30" s="15">
        <v>46063.660185185188</v>
      </c>
      <c r="F30" s="15">
        <v>46099</v>
      </c>
      <c r="G30" s="2" t="s">
        <v>57</v>
      </c>
      <c r="H30" s="11">
        <v>557131132480</v>
      </c>
      <c r="I30" s="2" t="s">
        <v>419</v>
      </c>
      <c r="J30" s="2" t="s">
        <v>420</v>
      </c>
      <c r="K30" s="2" t="s">
        <v>421</v>
      </c>
      <c r="L30" s="2" t="s">
        <v>107</v>
      </c>
      <c r="M30" s="15">
        <v>46083</v>
      </c>
      <c r="N30" s="2" t="s">
        <v>422</v>
      </c>
      <c r="O30" s="17"/>
      <c r="P30" s="1"/>
      <c r="Q30" s="2" t="s">
        <v>423</v>
      </c>
      <c r="R30" s="17"/>
      <c r="S30" s="1"/>
      <c r="T30" s="17"/>
      <c r="U30" s="1"/>
      <c r="V30" s="17"/>
      <c r="W30" s="1"/>
      <c r="X30" s="15">
        <v>46087</v>
      </c>
      <c r="Y30" s="2" t="s">
        <v>424</v>
      </c>
      <c r="Z30" s="2" t="s">
        <v>425</v>
      </c>
      <c r="AA30" s="1"/>
      <c r="AB30" s="2" t="s">
        <v>426</v>
      </c>
      <c r="AC30" s="2" t="s">
        <v>427</v>
      </c>
      <c r="AD30" s="2" t="s">
        <v>428</v>
      </c>
      <c r="AE30" s="2" t="s">
        <v>429</v>
      </c>
      <c r="AF30" s="2" t="s">
        <v>430</v>
      </c>
      <c r="AG30" s="2" t="s">
        <v>257</v>
      </c>
      <c r="AH30" s="2" t="s">
        <v>431</v>
      </c>
      <c r="AI30" s="2" t="s">
        <v>432</v>
      </c>
      <c r="AJ30" s="2" t="s">
        <v>433</v>
      </c>
      <c r="AK30" s="2" t="s">
        <v>95</v>
      </c>
      <c r="AL30" s="2" t="s">
        <v>418</v>
      </c>
      <c r="AM30" s="2" t="s">
        <v>119</v>
      </c>
      <c r="AN30" s="2" t="s">
        <v>434</v>
      </c>
      <c r="AO30" s="4" t="s">
        <v>435</v>
      </c>
    </row>
    <row r="31" spans="1:41" ht="33" customHeight="1" x14ac:dyDescent="0.25">
      <c r="A31" s="2" t="s">
        <v>139</v>
      </c>
      <c r="B31" s="2" t="s">
        <v>51</v>
      </c>
      <c r="C31" s="2" t="s">
        <v>138</v>
      </c>
      <c r="D31" s="8">
        <v>29900</v>
      </c>
      <c r="E31" s="15">
        <v>46113.62054398148</v>
      </c>
      <c r="F31" s="15">
        <v>46142</v>
      </c>
      <c r="G31" s="2" t="s">
        <v>57</v>
      </c>
      <c r="H31" s="11">
        <v>554797476868</v>
      </c>
      <c r="I31" s="2" t="s">
        <v>141</v>
      </c>
      <c r="J31" s="2" t="s">
        <v>142</v>
      </c>
      <c r="K31" s="2" t="s">
        <v>143</v>
      </c>
      <c r="L31" s="2" t="s">
        <v>107</v>
      </c>
      <c r="M31" s="17"/>
      <c r="N31" s="1"/>
      <c r="O31" s="17"/>
      <c r="P31" s="1"/>
      <c r="Q31" s="2" t="s">
        <v>144</v>
      </c>
      <c r="R31" s="17"/>
      <c r="S31" s="1"/>
      <c r="T31" s="17"/>
      <c r="U31" s="1"/>
      <c r="V31" s="17"/>
      <c r="W31" s="1"/>
      <c r="X31" s="17"/>
      <c r="Y31" s="1"/>
      <c r="Z31" s="1"/>
      <c r="AA31" s="1"/>
      <c r="AB31" s="2" t="s">
        <v>145</v>
      </c>
      <c r="AC31" s="2" t="s">
        <v>146</v>
      </c>
      <c r="AD31" s="2" t="s">
        <v>147</v>
      </c>
      <c r="AE31" s="2" t="s">
        <v>148</v>
      </c>
      <c r="AF31" s="2" t="s">
        <v>149</v>
      </c>
      <c r="AG31" s="2" t="s">
        <v>71</v>
      </c>
      <c r="AH31" s="2" t="s">
        <v>150</v>
      </c>
      <c r="AI31" s="2" t="s">
        <v>151</v>
      </c>
      <c r="AJ31" s="2" t="s">
        <v>152</v>
      </c>
      <c r="AK31" s="2" t="s">
        <v>76</v>
      </c>
      <c r="AL31" s="2" t="s">
        <v>140</v>
      </c>
      <c r="AM31" s="2" t="s">
        <v>90</v>
      </c>
      <c r="AN31" s="2" t="s">
        <v>153</v>
      </c>
      <c r="AO31" s="4" t="s">
        <v>154</v>
      </c>
    </row>
    <row r="32" spans="1:41" ht="33" customHeight="1" x14ac:dyDescent="0.25">
      <c r="A32" s="2" t="s">
        <v>963</v>
      </c>
      <c r="B32" s="2" t="s">
        <v>41</v>
      </c>
      <c r="C32" s="2" t="s">
        <v>159</v>
      </c>
      <c r="D32" s="8">
        <v>13760</v>
      </c>
      <c r="E32" s="15">
        <v>45968.362268518518</v>
      </c>
      <c r="F32" s="15">
        <v>46101</v>
      </c>
      <c r="G32" s="2" t="s">
        <v>57</v>
      </c>
      <c r="H32" s="11">
        <f>551134117626 +551134117626</f>
        <v>1102268235252</v>
      </c>
      <c r="I32" s="2" t="s">
        <v>965</v>
      </c>
      <c r="J32" s="2" t="s">
        <v>966</v>
      </c>
      <c r="K32" s="2" t="s">
        <v>967</v>
      </c>
      <c r="L32" s="2" t="s">
        <v>125</v>
      </c>
      <c r="M32" s="15">
        <v>46000</v>
      </c>
      <c r="N32" s="2" t="s">
        <v>968</v>
      </c>
      <c r="O32" s="15">
        <v>46041</v>
      </c>
      <c r="P32" s="2" t="s">
        <v>969</v>
      </c>
      <c r="Q32" s="2" t="s">
        <v>970</v>
      </c>
      <c r="R32" s="15">
        <v>46056</v>
      </c>
      <c r="S32" s="2" t="s">
        <v>971</v>
      </c>
      <c r="T32" s="15">
        <v>46071</v>
      </c>
      <c r="U32" s="2" t="s">
        <v>972</v>
      </c>
      <c r="V32" s="17"/>
      <c r="W32" s="1"/>
      <c r="X32" s="17"/>
      <c r="Y32" s="1"/>
      <c r="Z32" s="1"/>
      <c r="AA32" s="1"/>
      <c r="AB32" s="2" t="s">
        <v>973</v>
      </c>
      <c r="AC32" s="2" t="s">
        <v>974</v>
      </c>
      <c r="AD32" s="2" t="s">
        <v>975</v>
      </c>
      <c r="AE32" s="2" t="s">
        <v>976</v>
      </c>
      <c r="AF32" s="2" t="s">
        <v>977</v>
      </c>
      <c r="AG32" s="2" t="s">
        <v>94</v>
      </c>
      <c r="AH32" s="2" t="s">
        <v>978</v>
      </c>
      <c r="AI32" s="2" t="s">
        <v>979</v>
      </c>
      <c r="AJ32" s="2" t="s">
        <v>980</v>
      </c>
      <c r="AK32" s="2" t="s">
        <v>76</v>
      </c>
      <c r="AL32" s="2" t="s">
        <v>964</v>
      </c>
      <c r="AM32" s="2" t="s">
        <v>346</v>
      </c>
      <c r="AN32" s="2" t="s">
        <v>79</v>
      </c>
      <c r="AO32" s="4" t="s">
        <v>80</v>
      </c>
    </row>
    <row r="33" spans="1:41" ht="33" customHeight="1" x14ac:dyDescent="0.25">
      <c r="A33" s="2" t="s">
        <v>870</v>
      </c>
      <c r="B33" s="2" t="s">
        <v>78</v>
      </c>
      <c r="C33" s="2" t="s">
        <v>869</v>
      </c>
      <c r="D33" s="8">
        <v>34600</v>
      </c>
      <c r="E33" s="15">
        <v>45994.477754629632</v>
      </c>
      <c r="F33" s="15">
        <v>46062</v>
      </c>
      <c r="G33" s="2" t="s">
        <v>52</v>
      </c>
      <c r="H33" s="11">
        <v>5531991056546</v>
      </c>
      <c r="I33" s="2" t="s">
        <v>872</v>
      </c>
      <c r="J33" s="2" t="s">
        <v>873</v>
      </c>
      <c r="K33" s="2" t="s">
        <v>874</v>
      </c>
      <c r="L33" s="2" t="s">
        <v>62</v>
      </c>
      <c r="M33" s="15">
        <v>46028</v>
      </c>
      <c r="N33" s="2" t="s">
        <v>875</v>
      </c>
      <c r="O33" s="15">
        <v>46042</v>
      </c>
      <c r="P33" s="2" t="s">
        <v>876</v>
      </c>
      <c r="Q33" s="2" t="s">
        <v>877</v>
      </c>
      <c r="R33" s="17"/>
      <c r="S33" s="1"/>
      <c r="T33" s="17"/>
      <c r="U33" s="1"/>
      <c r="V33" s="17"/>
      <c r="W33" s="1"/>
      <c r="X33" s="17"/>
      <c r="Y33" s="1"/>
      <c r="Z33" s="1"/>
      <c r="AA33" s="1"/>
      <c r="AB33" s="2" t="s">
        <v>878</v>
      </c>
      <c r="AC33" s="2" t="s">
        <v>92</v>
      </c>
      <c r="AD33" s="2" t="s">
        <v>92</v>
      </c>
      <c r="AE33" s="2" t="s">
        <v>92</v>
      </c>
      <c r="AF33" s="2" t="s">
        <v>92</v>
      </c>
      <c r="AG33" s="2" t="s">
        <v>94</v>
      </c>
      <c r="AH33" s="2" t="s">
        <v>879</v>
      </c>
      <c r="AI33" s="2" t="s">
        <v>367</v>
      </c>
      <c r="AJ33" s="2" t="s">
        <v>880</v>
      </c>
      <c r="AK33" s="2" t="s">
        <v>97</v>
      </c>
      <c r="AL33" s="2" t="s">
        <v>871</v>
      </c>
      <c r="AM33" s="2" t="s">
        <v>881</v>
      </c>
      <c r="AN33" s="2" t="s">
        <v>593</v>
      </c>
      <c r="AO33" s="4" t="s">
        <v>158</v>
      </c>
    </row>
    <row r="34" spans="1:41" ht="33" customHeight="1" x14ac:dyDescent="0.25">
      <c r="A34" s="2" t="s">
        <v>56</v>
      </c>
      <c r="B34" s="2" t="s">
        <v>51</v>
      </c>
      <c r="C34" s="2" t="s">
        <v>55</v>
      </c>
      <c r="D34" s="8">
        <v>42900</v>
      </c>
      <c r="E34" s="15">
        <v>46146.584837962961</v>
      </c>
      <c r="F34" s="15">
        <v>46174</v>
      </c>
      <c r="G34" s="2" t="s">
        <v>57</v>
      </c>
      <c r="H34" s="11">
        <v>5511961740305</v>
      </c>
      <c r="I34" s="2" t="s">
        <v>59</v>
      </c>
      <c r="J34" s="2" t="s">
        <v>60</v>
      </c>
      <c r="K34" s="2" t="s">
        <v>61</v>
      </c>
      <c r="L34" s="2" t="s">
        <v>62</v>
      </c>
      <c r="M34" s="15">
        <v>46156</v>
      </c>
      <c r="N34" s="2" t="s">
        <v>63</v>
      </c>
      <c r="O34" s="15">
        <v>46168</v>
      </c>
      <c r="P34" s="2" t="s">
        <v>64</v>
      </c>
      <c r="Q34" s="2" t="s">
        <v>65</v>
      </c>
      <c r="R34" s="17"/>
      <c r="S34" s="1"/>
      <c r="T34" s="17"/>
      <c r="U34" s="1"/>
      <c r="V34" s="17"/>
      <c r="W34" s="1"/>
      <c r="X34" s="17"/>
      <c r="Y34" s="1"/>
      <c r="Z34" s="1"/>
      <c r="AA34" s="1"/>
      <c r="AB34" s="2" t="s">
        <v>66</v>
      </c>
      <c r="AC34" s="2" t="s">
        <v>67</v>
      </c>
      <c r="AD34" s="2" t="s">
        <v>68</v>
      </c>
      <c r="AE34" s="2" t="s">
        <v>69</v>
      </c>
      <c r="AF34" s="2" t="s">
        <v>70</v>
      </c>
      <c r="AG34" s="2" t="s">
        <v>71</v>
      </c>
      <c r="AH34" s="2" t="s">
        <v>72</v>
      </c>
      <c r="AI34" s="2" t="s">
        <v>73</v>
      </c>
      <c r="AJ34" s="2" t="s">
        <v>74</v>
      </c>
      <c r="AK34" s="2" t="s">
        <v>76</v>
      </c>
      <c r="AL34" s="2" t="s">
        <v>58</v>
      </c>
      <c r="AM34" s="2" t="s">
        <v>77</v>
      </c>
      <c r="AN34" s="2" t="s">
        <v>79</v>
      </c>
      <c r="AO34" s="4" t="s">
        <v>80</v>
      </c>
    </row>
    <row r="35" spans="1:41" ht="33" customHeight="1" x14ac:dyDescent="0.25">
      <c r="A35" s="2" t="s">
        <v>642</v>
      </c>
      <c r="B35" s="2" t="s">
        <v>51</v>
      </c>
      <c r="C35" s="2" t="s">
        <v>641</v>
      </c>
      <c r="D35" s="8">
        <v>103950</v>
      </c>
      <c r="E35" s="15">
        <v>46038.530381944445</v>
      </c>
      <c r="F35" s="15">
        <v>46091</v>
      </c>
      <c r="G35" s="2" t="s">
        <v>57</v>
      </c>
      <c r="H35" s="11">
        <v>44998613736</v>
      </c>
      <c r="I35" s="2" t="s">
        <v>644</v>
      </c>
      <c r="J35" s="2" t="s">
        <v>645</v>
      </c>
      <c r="K35" s="2" t="s">
        <v>646</v>
      </c>
      <c r="L35" s="2" t="s">
        <v>62</v>
      </c>
      <c r="M35" s="17"/>
      <c r="N35" s="1"/>
      <c r="O35" s="17"/>
      <c r="P35" s="1"/>
      <c r="Q35" s="2" t="s">
        <v>647</v>
      </c>
      <c r="R35" s="17"/>
      <c r="S35" s="1"/>
      <c r="T35" s="17"/>
      <c r="U35" s="1"/>
      <c r="V35" s="17"/>
      <c r="W35" s="1"/>
      <c r="X35" s="17"/>
      <c r="Y35" s="1"/>
      <c r="Z35" s="2" t="s">
        <v>648</v>
      </c>
      <c r="AA35" s="2" t="s">
        <v>649</v>
      </c>
      <c r="AB35" s="2" t="s">
        <v>192</v>
      </c>
      <c r="AC35" s="2" t="s">
        <v>650</v>
      </c>
      <c r="AD35" s="2" t="s">
        <v>651</v>
      </c>
      <c r="AE35" s="2" t="s">
        <v>652</v>
      </c>
      <c r="AF35" s="2" t="s">
        <v>653</v>
      </c>
      <c r="AG35" s="2" t="s">
        <v>85</v>
      </c>
      <c r="AH35" s="2" t="s">
        <v>654</v>
      </c>
      <c r="AI35" s="2" t="s">
        <v>655</v>
      </c>
      <c r="AJ35" s="2" t="s">
        <v>656</v>
      </c>
      <c r="AK35" s="2" t="s">
        <v>657</v>
      </c>
      <c r="AL35" s="2" t="s">
        <v>643</v>
      </c>
      <c r="AM35" s="2" t="s">
        <v>261</v>
      </c>
      <c r="AN35" s="2" t="s">
        <v>301</v>
      </c>
      <c r="AO35" s="4" t="s">
        <v>202</v>
      </c>
    </row>
    <row r="36" spans="1:41" ht="33" customHeight="1" x14ac:dyDescent="0.25">
      <c r="A36" s="2" t="s">
        <v>221</v>
      </c>
      <c r="B36" s="2" t="s">
        <v>51</v>
      </c>
      <c r="C36" s="2" t="s">
        <v>220</v>
      </c>
      <c r="D36" s="8">
        <v>420000</v>
      </c>
      <c r="E36" s="15">
        <v>46093.80736111111</v>
      </c>
      <c r="F36" s="15">
        <v>46162</v>
      </c>
      <c r="G36" s="2" t="s">
        <v>52</v>
      </c>
      <c r="H36" s="11">
        <v>554196685468</v>
      </c>
      <c r="I36" s="2" t="s">
        <v>223</v>
      </c>
      <c r="J36" s="2" t="s">
        <v>224</v>
      </c>
      <c r="K36" s="2" t="s">
        <v>225</v>
      </c>
      <c r="L36" s="2" t="s">
        <v>48</v>
      </c>
      <c r="M36" s="15">
        <v>46106</v>
      </c>
      <c r="N36" s="2" t="s">
        <v>226</v>
      </c>
      <c r="O36" s="15">
        <v>46112</v>
      </c>
      <c r="P36" s="2" t="s">
        <v>227</v>
      </c>
      <c r="Q36" s="2" t="s">
        <v>228</v>
      </c>
      <c r="R36" s="15">
        <v>46127</v>
      </c>
      <c r="S36" s="2" t="s">
        <v>229</v>
      </c>
      <c r="T36" s="15">
        <v>46146</v>
      </c>
      <c r="U36" s="2" t="s">
        <v>230</v>
      </c>
      <c r="V36" s="15">
        <v>46156</v>
      </c>
      <c r="W36" s="2" t="s">
        <v>231</v>
      </c>
      <c r="X36" s="17"/>
      <c r="Y36" s="1"/>
      <c r="Z36" s="1"/>
      <c r="AA36" s="2" t="s">
        <v>232</v>
      </c>
      <c r="AB36" s="2" t="s">
        <v>233</v>
      </c>
      <c r="AC36" s="2" t="s">
        <v>234</v>
      </c>
      <c r="AD36" s="2" t="s">
        <v>235</v>
      </c>
      <c r="AE36" s="2" t="s">
        <v>236</v>
      </c>
      <c r="AF36" s="2" t="s">
        <v>237</v>
      </c>
      <c r="AG36" s="2" t="s">
        <v>53</v>
      </c>
      <c r="AH36" s="2" t="s">
        <v>238</v>
      </c>
      <c r="AI36" s="2" t="s">
        <v>239</v>
      </c>
      <c r="AJ36" s="2" t="s">
        <v>240</v>
      </c>
      <c r="AK36" s="2" t="s">
        <v>241</v>
      </c>
      <c r="AL36" s="2" t="s">
        <v>222</v>
      </c>
      <c r="AM36" s="2" t="s">
        <v>242</v>
      </c>
      <c r="AN36" s="2" t="s">
        <v>243</v>
      </c>
      <c r="AO36" s="4" t="s">
        <v>202</v>
      </c>
    </row>
    <row r="37" spans="1:41" ht="33" customHeight="1" x14ac:dyDescent="0.25">
      <c r="A37" s="2" t="s">
        <v>802</v>
      </c>
      <c r="B37" s="2" t="s">
        <v>51</v>
      </c>
      <c r="C37" s="2" t="s">
        <v>594</v>
      </c>
      <c r="D37" s="8">
        <v>169000</v>
      </c>
      <c r="E37" s="15">
        <v>46007.387743055559</v>
      </c>
      <c r="F37" s="15">
        <v>46038</v>
      </c>
      <c r="G37" s="2" t="s">
        <v>45</v>
      </c>
      <c r="H37" s="11">
        <v>5541996487700</v>
      </c>
      <c r="I37" s="2" t="s">
        <v>804</v>
      </c>
      <c r="J37" s="2" t="s">
        <v>805</v>
      </c>
      <c r="K37" s="2" t="s">
        <v>806</v>
      </c>
      <c r="L37" s="2" t="s">
        <v>48</v>
      </c>
      <c r="M37" s="17"/>
      <c r="N37" s="1"/>
      <c r="O37" s="17"/>
      <c r="P37" s="1"/>
      <c r="Q37" s="2" t="s">
        <v>807</v>
      </c>
      <c r="R37" s="17"/>
      <c r="S37" s="1"/>
      <c r="T37" s="17"/>
      <c r="U37" s="1"/>
      <c r="V37" s="17"/>
      <c r="W37" s="1"/>
      <c r="X37" s="17"/>
      <c r="Y37" s="1"/>
      <c r="Z37" s="2" t="s">
        <v>808</v>
      </c>
      <c r="AA37" s="1"/>
      <c r="AB37" s="2" t="s">
        <v>594</v>
      </c>
      <c r="AC37" s="1"/>
      <c r="AD37" s="1"/>
      <c r="AE37" s="1"/>
      <c r="AF37" s="1"/>
      <c r="AG37" s="2" t="s">
        <v>85</v>
      </c>
      <c r="AH37" s="2" t="s">
        <v>809</v>
      </c>
      <c r="AI37" s="2" t="s">
        <v>810</v>
      </c>
      <c r="AJ37" s="2" t="s">
        <v>811</v>
      </c>
      <c r="AK37" s="2" t="s">
        <v>97</v>
      </c>
      <c r="AL37" s="2" t="s">
        <v>803</v>
      </c>
      <c r="AM37" s="2" t="s">
        <v>812</v>
      </c>
      <c r="AN37" s="2" t="s">
        <v>483</v>
      </c>
      <c r="AO37" s="4" t="s">
        <v>202</v>
      </c>
    </row>
    <row r="38" spans="1:41" ht="33" customHeight="1" x14ac:dyDescent="0.25">
      <c r="A38" s="2" t="s">
        <v>851</v>
      </c>
      <c r="B38" s="2" t="s">
        <v>51</v>
      </c>
      <c r="C38" s="2" t="s">
        <v>850</v>
      </c>
      <c r="D38" s="8">
        <v>146720</v>
      </c>
      <c r="E38" s="15">
        <v>46001.485393518517</v>
      </c>
      <c r="F38" s="15">
        <v>46083</v>
      </c>
      <c r="G38" s="2" t="s">
        <v>57</v>
      </c>
      <c r="H38" s="11">
        <v>5549991143977</v>
      </c>
      <c r="I38" s="2" t="s">
        <v>853</v>
      </c>
      <c r="J38" s="2" t="s">
        <v>854</v>
      </c>
      <c r="K38" s="2" t="s">
        <v>855</v>
      </c>
      <c r="L38" s="2" t="s">
        <v>125</v>
      </c>
      <c r="M38" s="15">
        <v>46029</v>
      </c>
      <c r="N38" s="2" t="s">
        <v>856</v>
      </c>
      <c r="O38" s="15">
        <v>46038</v>
      </c>
      <c r="P38" s="2" t="s">
        <v>857</v>
      </c>
      <c r="Q38" s="2" t="s">
        <v>858</v>
      </c>
      <c r="R38" s="15">
        <v>46071</v>
      </c>
      <c r="S38" s="2" t="s">
        <v>859</v>
      </c>
      <c r="T38" s="17"/>
      <c r="U38" s="1"/>
      <c r="V38" s="17"/>
      <c r="W38" s="1"/>
      <c r="X38" s="17"/>
      <c r="Y38" s="1"/>
      <c r="Z38" s="2" t="s">
        <v>860</v>
      </c>
      <c r="AA38" s="2" t="s">
        <v>861</v>
      </c>
      <c r="AB38" s="2" t="s">
        <v>862</v>
      </c>
      <c r="AC38" s="2" t="s">
        <v>781</v>
      </c>
      <c r="AD38" s="2" t="s">
        <v>845</v>
      </c>
      <c r="AE38" s="2" t="s">
        <v>783</v>
      </c>
      <c r="AF38" s="2" t="s">
        <v>784</v>
      </c>
      <c r="AG38" s="2" t="s">
        <v>85</v>
      </c>
      <c r="AH38" s="2" t="s">
        <v>863</v>
      </c>
      <c r="AI38" s="2" t="s">
        <v>864</v>
      </c>
      <c r="AJ38" s="2" t="s">
        <v>865</v>
      </c>
      <c r="AK38" s="2" t="s">
        <v>866</v>
      </c>
      <c r="AL38" s="2" t="s">
        <v>852</v>
      </c>
      <c r="AM38" s="2" t="s">
        <v>867</v>
      </c>
      <c r="AN38" s="2" t="s">
        <v>384</v>
      </c>
      <c r="AO38" s="4" t="s">
        <v>154</v>
      </c>
    </row>
    <row r="39" spans="1:41" ht="33" customHeight="1" x14ac:dyDescent="0.25">
      <c r="A39" s="2" t="s">
        <v>1112</v>
      </c>
      <c r="B39" s="2" t="s">
        <v>41</v>
      </c>
      <c r="C39" s="2" t="s">
        <v>1111</v>
      </c>
      <c r="D39" s="8">
        <v>38000</v>
      </c>
      <c r="E39" s="15">
        <v>45922.458310185182</v>
      </c>
      <c r="F39" s="15">
        <v>46104</v>
      </c>
      <c r="G39" s="2" t="s">
        <v>57</v>
      </c>
      <c r="H39" s="11">
        <v>5511987447471</v>
      </c>
      <c r="I39" s="2" t="s">
        <v>1114</v>
      </c>
      <c r="J39" s="2" t="s">
        <v>1115</v>
      </c>
      <c r="K39" s="2" t="s">
        <v>1116</v>
      </c>
      <c r="L39" s="2" t="s">
        <v>46</v>
      </c>
      <c r="M39" s="15">
        <v>45946</v>
      </c>
      <c r="N39" s="2" t="s">
        <v>1117</v>
      </c>
      <c r="O39" s="15">
        <v>45947</v>
      </c>
      <c r="P39" s="2" t="s">
        <v>1118</v>
      </c>
      <c r="Q39" s="2" t="s">
        <v>1119</v>
      </c>
      <c r="R39" s="15">
        <v>45953</v>
      </c>
      <c r="S39" s="2" t="s">
        <v>1120</v>
      </c>
      <c r="T39" s="15">
        <v>45958</v>
      </c>
      <c r="U39" s="2" t="s">
        <v>1121</v>
      </c>
      <c r="V39" s="15">
        <v>45965</v>
      </c>
      <c r="W39" s="2" t="s">
        <v>1122</v>
      </c>
      <c r="X39" s="15">
        <v>45995</v>
      </c>
      <c r="Y39" s="2" t="s">
        <v>1123</v>
      </c>
      <c r="Z39" s="1"/>
      <c r="AA39" s="1"/>
      <c r="AB39" s="2" t="s">
        <v>1124</v>
      </c>
      <c r="AC39" s="1"/>
      <c r="AD39" s="1"/>
      <c r="AE39" s="1"/>
      <c r="AF39" s="1"/>
      <c r="AG39" s="2" t="s">
        <v>94</v>
      </c>
      <c r="AH39" s="2" t="s">
        <v>1125</v>
      </c>
      <c r="AI39" s="2" t="s">
        <v>1126</v>
      </c>
      <c r="AJ39" s="2" t="s">
        <v>1127</v>
      </c>
      <c r="AK39" s="2" t="s">
        <v>341</v>
      </c>
      <c r="AL39" s="2" t="s">
        <v>1113</v>
      </c>
      <c r="AM39" s="2" t="s">
        <v>1128</v>
      </c>
      <c r="AN39" s="2" t="s">
        <v>1129</v>
      </c>
      <c r="AO39" s="4" t="s">
        <v>80</v>
      </c>
    </row>
    <row r="40" spans="1:41" ht="33" customHeight="1" x14ac:dyDescent="0.25">
      <c r="A40" s="2" t="s">
        <v>750</v>
      </c>
      <c r="B40" s="2" t="s">
        <v>78</v>
      </c>
      <c r="C40" s="2" t="s">
        <v>749</v>
      </c>
      <c r="D40" s="8">
        <v>28500</v>
      </c>
      <c r="E40" s="15">
        <v>46027.720081018517</v>
      </c>
      <c r="F40" s="15">
        <v>46035</v>
      </c>
      <c r="G40" s="2" t="s">
        <v>52</v>
      </c>
      <c r="H40" s="11">
        <v>5519998029039</v>
      </c>
      <c r="I40" s="2" t="s">
        <v>751</v>
      </c>
      <c r="J40" s="2" t="s">
        <v>752</v>
      </c>
      <c r="K40" s="2" t="s">
        <v>753</v>
      </c>
      <c r="L40" s="2" t="s">
        <v>107</v>
      </c>
      <c r="M40" s="15">
        <v>46030</v>
      </c>
      <c r="N40" s="2" t="s">
        <v>754</v>
      </c>
      <c r="O40" s="17"/>
      <c r="P40" s="1"/>
      <c r="Q40" s="2" t="s">
        <v>755</v>
      </c>
      <c r="R40" s="17"/>
      <c r="S40" s="1"/>
      <c r="T40" s="17"/>
      <c r="U40" s="1"/>
      <c r="V40" s="17"/>
      <c r="W40" s="1"/>
      <c r="X40" s="17"/>
      <c r="Y40" s="1"/>
      <c r="Z40" s="1"/>
      <c r="AA40" s="1"/>
      <c r="AB40" s="2" t="s">
        <v>426</v>
      </c>
      <c r="AC40" s="2" t="s">
        <v>92</v>
      </c>
      <c r="AD40" s="2" t="s">
        <v>756</v>
      </c>
      <c r="AE40" s="2" t="s">
        <v>92</v>
      </c>
      <c r="AF40" s="2" t="s">
        <v>757</v>
      </c>
      <c r="AG40" s="2" t="s">
        <v>71</v>
      </c>
      <c r="AH40" s="2" t="s">
        <v>758</v>
      </c>
      <c r="AI40" s="2" t="s">
        <v>759</v>
      </c>
      <c r="AJ40" s="2" t="s">
        <v>760</v>
      </c>
      <c r="AK40" s="2" t="s">
        <v>81</v>
      </c>
      <c r="AL40" s="1"/>
      <c r="AM40" s="2" t="s">
        <v>242</v>
      </c>
      <c r="AN40" s="2" t="s">
        <v>344</v>
      </c>
      <c r="AO40" s="4" t="s">
        <v>80</v>
      </c>
    </row>
    <row r="41" spans="1:41" ht="33" customHeight="1" x14ac:dyDescent="0.25">
      <c r="A41" s="2" t="s">
        <v>690</v>
      </c>
      <c r="B41" s="2" t="s">
        <v>98</v>
      </c>
      <c r="C41" s="2" t="s">
        <v>689</v>
      </c>
      <c r="D41" s="8">
        <v>134100</v>
      </c>
      <c r="E41" s="15">
        <v>46034.759791666664</v>
      </c>
      <c r="F41" s="15">
        <v>46134</v>
      </c>
      <c r="G41" s="2" t="s">
        <v>42</v>
      </c>
      <c r="H41" s="11">
        <v>554399726177</v>
      </c>
      <c r="I41" s="2" t="s">
        <v>692</v>
      </c>
      <c r="J41" s="2" t="s">
        <v>693</v>
      </c>
      <c r="K41" s="2" t="s">
        <v>694</v>
      </c>
      <c r="L41" s="2" t="s">
        <v>48</v>
      </c>
      <c r="M41" s="15">
        <v>46050</v>
      </c>
      <c r="N41" s="2" t="s">
        <v>695</v>
      </c>
      <c r="O41" s="15">
        <v>46071</v>
      </c>
      <c r="P41" s="2" t="s">
        <v>696</v>
      </c>
      <c r="Q41" s="2" t="s">
        <v>697</v>
      </c>
      <c r="R41" s="15">
        <v>46080</v>
      </c>
      <c r="S41" s="2" t="s">
        <v>698</v>
      </c>
      <c r="T41" s="17"/>
      <c r="U41" s="1"/>
      <c r="V41" s="17"/>
      <c r="W41" s="1"/>
      <c r="X41" s="17"/>
      <c r="Y41" s="1"/>
      <c r="Z41" s="1"/>
      <c r="AA41" s="2" t="s">
        <v>699</v>
      </c>
      <c r="AB41" s="2" t="s">
        <v>368</v>
      </c>
      <c r="AC41" s="2" t="s">
        <v>700</v>
      </c>
      <c r="AD41" s="2" t="s">
        <v>701</v>
      </c>
      <c r="AE41" s="2" t="s">
        <v>702</v>
      </c>
      <c r="AF41" s="2" t="s">
        <v>703</v>
      </c>
      <c r="AG41" s="2" t="s">
        <v>342</v>
      </c>
      <c r="AH41" s="2" t="s">
        <v>704</v>
      </c>
      <c r="AI41" s="2" t="s">
        <v>705</v>
      </c>
      <c r="AJ41" s="2" t="s">
        <v>706</v>
      </c>
      <c r="AK41" s="2" t="s">
        <v>707</v>
      </c>
      <c r="AL41" s="2" t="s">
        <v>691</v>
      </c>
      <c r="AM41" s="2" t="s">
        <v>674</v>
      </c>
      <c r="AN41" s="2" t="s">
        <v>708</v>
      </c>
      <c r="AO41" s="4" t="s">
        <v>202</v>
      </c>
    </row>
    <row r="42" spans="1:41" ht="33" customHeight="1" x14ac:dyDescent="0.25">
      <c r="A42" s="2" t="s">
        <v>183</v>
      </c>
      <c r="B42" s="2" t="s">
        <v>51</v>
      </c>
      <c r="C42" s="2" t="s">
        <v>182</v>
      </c>
      <c r="D42" s="8">
        <v>17215</v>
      </c>
      <c r="E42" s="15">
        <v>46093.823981481481</v>
      </c>
      <c r="F42" s="15">
        <v>46156</v>
      </c>
      <c r="G42" s="2" t="s">
        <v>52</v>
      </c>
      <c r="H42" s="11">
        <v>42999539935</v>
      </c>
      <c r="I42" s="2" t="s">
        <v>185</v>
      </c>
      <c r="J42" s="2" t="s">
        <v>186</v>
      </c>
      <c r="K42" s="2" t="s">
        <v>187</v>
      </c>
      <c r="L42" s="2" t="s">
        <v>125</v>
      </c>
      <c r="M42" s="15">
        <v>46106</v>
      </c>
      <c r="N42" s="2" t="s">
        <v>188</v>
      </c>
      <c r="O42" s="15">
        <v>46112</v>
      </c>
      <c r="P42" s="2" t="s">
        <v>189</v>
      </c>
      <c r="Q42" s="2" t="s">
        <v>190</v>
      </c>
      <c r="R42" s="15">
        <v>46127</v>
      </c>
      <c r="S42" s="2" t="s">
        <v>191</v>
      </c>
      <c r="T42" s="17"/>
      <c r="U42" s="1"/>
      <c r="V42" s="17"/>
      <c r="W42" s="1"/>
      <c r="X42" s="17"/>
      <c r="Y42" s="1"/>
      <c r="Z42" s="1"/>
      <c r="AA42" s="1"/>
      <c r="AB42" s="2" t="s">
        <v>192</v>
      </c>
      <c r="AC42" s="2" t="s">
        <v>193</v>
      </c>
      <c r="AD42" s="2" t="s">
        <v>194</v>
      </c>
      <c r="AE42" s="2" t="s">
        <v>195</v>
      </c>
      <c r="AF42" s="2" t="s">
        <v>196</v>
      </c>
      <c r="AG42" s="2" t="s">
        <v>85</v>
      </c>
      <c r="AH42" s="2" t="s">
        <v>197</v>
      </c>
      <c r="AI42" s="2" t="s">
        <v>198</v>
      </c>
      <c r="AJ42" s="2" t="s">
        <v>199</v>
      </c>
      <c r="AK42" s="2" t="s">
        <v>76</v>
      </c>
      <c r="AL42" s="2" t="s">
        <v>184</v>
      </c>
      <c r="AM42" s="2" t="s">
        <v>200</v>
      </c>
      <c r="AN42" s="2" t="s">
        <v>201</v>
      </c>
      <c r="AO42" s="4" t="s">
        <v>202</v>
      </c>
    </row>
    <row r="43" spans="1:41" ht="33" customHeight="1" x14ac:dyDescent="0.25">
      <c r="A43" s="2" t="s">
        <v>773</v>
      </c>
      <c r="B43" s="2" t="s">
        <v>51</v>
      </c>
      <c r="C43" s="2" t="s">
        <v>772</v>
      </c>
      <c r="D43" s="8">
        <v>17215</v>
      </c>
      <c r="E43" s="15">
        <v>46008.672488425924</v>
      </c>
      <c r="F43" s="15">
        <v>46062</v>
      </c>
      <c r="G43" s="2" t="s">
        <v>47</v>
      </c>
      <c r="H43" s="11">
        <v>5511989197606</v>
      </c>
      <c r="I43" s="2" t="s">
        <v>775</v>
      </c>
      <c r="J43" s="2" t="s">
        <v>776</v>
      </c>
      <c r="K43" s="2" t="s">
        <v>777</v>
      </c>
      <c r="L43" s="2" t="s">
        <v>125</v>
      </c>
      <c r="M43" s="15">
        <v>46038</v>
      </c>
      <c r="N43" s="2" t="s">
        <v>778</v>
      </c>
      <c r="O43" s="17"/>
      <c r="P43" s="1"/>
      <c r="Q43" s="2" t="s">
        <v>779</v>
      </c>
      <c r="R43" s="17"/>
      <c r="S43" s="1"/>
      <c r="T43" s="17"/>
      <c r="U43" s="1"/>
      <c r="V43" s="17"/>
      <c r="W43" s="1"/>
      <c r="X43" s="17"/>
      <c r="Y43" s="1"/>
      <c r="Z43" s="1"/>
      <c r="AA43" s="2" t="s">
        <v>780</v>
      </c>
      <c r="AB43" s="2" t="s">
        <v>311</v>
      </c>
      <c r="AC43" s="2" t="s">
        <v>781</v>
      </c>
      <c r="AD43" s="2" t="s">
        <v>782</v>
      </c>
      <c r="AE43" s="2" t="s">
        <v>783</v>
      </c>
      <c r="AF43" s="2" t="s">
        <v>784</v>
      </c>
      <c r="AG43" s="2" t="s">
        <v>44</v>
      </c>
      <c r="AH43" s="2" t="s">
        <v>785</v>
      </c>
      <c r="AI43" s="2" t="s">
        <v>786</v>
      </c>
      <c r="AJ43" s="2" t="s">
        <v>787</v>
      </c>
      <c r="AK43" s="2" t="s">
        <v>726</v>
      </c>
      <c r="AL43" s="2" t="s">
        <v>774</v>
      </c>
      <c r="AM43" s="2" t="s">
        <v>75</v>
      </c>
      <c r="AN43" s="1"/>
      <c r="AO43" s="3"/>
    </row>
    <row r="44" spans="1:41" ht="33" customHeight="1" x14ac:dyDescent="0.25">
      <c r="A44" s="2" t="s">
        <v>913</v>
      </c>
      <c r="B44" s="2" t="s">
        <v>78</v>
      </c>
      <c r="C44" s="2" t="s">
        <v>912</v>
      </c>
      <c r="D44" s="8">
        <v>155000</v>
      </c>
      <c r="E44" s="15">
        <v>45975.717627314814</v>
      </c>
      <c r="F44" s="15">
        <v>46045</v>
      </c>
      <c r="G44" s="2" t="s">
        <v>52</v>
      </c>
      <c r="H44" s="11">
        <v>5519996988586</v>
      </c>
      <c r="I44" s="2" t="s">
        <v>915</v>
      </c>
      <c r="J44" s="2" t="s">
        <v>916</v>
      </c>
      <c r="K44" s="2" t="s">
        <v>917</v>
      </c>
      <c r="L44" s="2" t="s">
        <v>345</v>
      </c>
      <c r="M44" s="15">
        <v>45979</v>
      </c>
      <c r="N44" s="2" t="s">
        <v>918</v>
      </c>
      <c r="O44" s="15">
        <v>45986</v>
      </c>
      <c r="P44" s="2" t="s">
        <v>919</v>
      </c>
      <c r="Q44" s="2" t="s">
        <v>920</v>
      </c>
      <c r="R44" s="15">
        <v>45989</v>
      </c>
      <c r="S44" s="2" t="s">
        <v>921</v>
      </c>
      <c r="T44" s="15">
        <v>45989</v>
      </c>
      <c r="U44" s="2" t="s">
        <v>922</v>
      </c>
      <c r="V44" s="15">
        <v>45994</v>
      </c>
      <c r="W44" s="2" t="s">
        <v>923</v>
      </c>
      <c r="X44" s="17"/>
      <c r="Y44" s="1"/>
      <c r="Z44" s="1"/>
      <c r="AA44" s="1"/>
      <c r="AB44" s="2" t="s">
        <v>924</v>
      </c>
      <c r="AC44" s="1"/>
      <c r="AD44" s="1"/>
      <c r="AE44" s="1"/>
      <c r="AF44" s="1"/>
      <c r="AG44" s="2" t="s">
        <v>71</v>
      </c>
      <c r="AH44" s="2" t="s">
        <v>925</v>
      </c>
      <c r="AI44" s="2" t="s">
        <v>926</v>
      </c>
      <c r="AJ44" s="2" t="s">
        <v>927</v>
      </c>
      <c r="AK44" s="2" t="s">
        <v>118</v>
      </c>
      <c r="AL44" s="2" t="s">
        <v>914</v>
      </c>
      <c r="AM44" s="2" t="s">
        <v>261</v>
      </c>
      <c r="AN44" s="2" t="s">
        <v>928</v>
      </c>
      <c r="AO44" s="4" t="s">
        <v>80</v>
      </c>
    </row>
    <row r="45" spans="1:41" ht="33" customHeight="1" x14ac:dyDescent="0.25">
      <c r="A45" s="2" t="s">
        <v>1202</v>
      </c>
      <c r="B45" s="2" t="s">
        <v>54</v>
      </c>
      <c r="C45" s="2" t="s">
        <v>1202</v>
      </c>
      <c r="D45" s="8">
        <v>329000</v>
      </c>
      <c r="E45" s="15">
        <v>45841.600185185183</v>
      </c>
      <c r="F45" s="15">
        <v>46051</v>
      </c>
      <c r="G45" s="2" t="s">
        <v>52</v>
      </c>
      <c r="H45" s="11">
        <v>5547999190200</v>
      </c>
      <c r="I45" s="2" t="s">
        <v>92</v>
      </c>
      <c r="J45" s="2" t="s">
        <v>92</v>
      </c>
      <c r="K45" s="2" t="s">
        <v>92</v>
      </c>
      <c r="L45" s="2" t="s">
        <v>48</v>
      </c>
      <c r="M45" s="15">
        <v>45892</v>
      </c>
      <c r="N45" s="2" t="s">
        <v>1204</v>
      </c>
      <c r="O45" s="15">
        <v>45902</v>
      </c>
      <c r="P45" s="2" t="s">
        <v>1205</v>
      </c>
      <c r="Q45" s="2" t="s">
        <v>1206</v>
      </c>
      <c r="R45" s="15">
        <v>45923</v>
      </c>
      <c r="S45" s="2" t="s">
        <v>1207</v>
      </c>
      <c r="T45" s="15">
        <v>45939</v>
      </c>
      <c r="U45" s="2" t="s">
        <v>1208</v>
      </c>
      <c r="V45" s="15">
        <v>45973</v>
      </c>
      <c r="W45" s="2" t="s">
        <v>1209</v>
      </c>
      <c r="X45" s="15">
        <v>46037</v>
      </c>
      <c r="Y45" s="2" t="s">
        <v>1210</v>
      </c>
      <c r="Z45" s="1"/>
      <c r="AA45" s="1"/>
      <c r="AB45" s="2" t="s">
        <v>1211</v>
      </c>
      <c r="AC45" s="2" t="s">
        <v>92</v>
      </c>
      <c r="AD45" s="2" t="s">
        <v>92</v>
      </c>
      <c r="AE45" s="2" t="s">
        <v>92</v>
      </c>
      <c r="AF45" s="2" t="s">
        <v>92</v>
      </c>
      <c r="AG45" s="2" t="s">
        <v>53</v>
      </c>
      <c r="AH45" s="2" t="s">
        <v>53</v>
      </c>
      <c r="AI45" s="2" t="s">
        <v>1212</v>
      </c>
      <c r="AJ45" s="2" t="s">
        <v>340</v>
      </c>
      <c r="AK45" s="2" t="s">
        <v>161</v>
      </c>
      <c r="AL45" s="2" t="s">
        <v>1203</v>
      </c>
      <c r="AM45" s="2" t="s">
        <v>338</v>
      </c>
      <c r="AN45" s="2" t="s">
        <v>1213</v>
      </c>
      <c r="AO45" s="4" t="s">
        <v>154</v>
      </c>
    </row>
    <row r="46" spans="1:41" ht="33" customHeight="1" x14ac:dyDescent="0.25">
      <c r="A46" s="2" t="s">
        <v>349</v>
      </c>
      <c r="B46" s="2" t="s">
        <v>98</v>
      </c>
      <c r="C46" s="2" t="s">
        <v>348</v>
      </c>
      <c r="D46" s="8">
        <v>55000</v>
      </c>
      <c r="E46" s="15">
        <v>46083.378553240742</v>
      </c>
      <c r="F46" s="15">
        <v>46111</v>
      </c>
      <c r="G46" s="2" t="s">
        <v>57</v>
      </c>
      <c r="H46" s="11" t="s">
        <v>351</v>
      </c>
      <c r="I46" s="2" t="s">
        <v>352</v>
      </c>
      <c r="J46" s="2" t="s">
        <v>353</v>
      </c>
      <c r="K46" s="2" t="s">
        <v>354</v>
      </c>
      <c r="L46" s="2" t="s">
        <v>46</v>
      </c>
      <c r="M46" s="15">
        <v>46087</v>
      </c>
      <c r="N46" s="2" t="s">
        <v>355</v>
      </c>
      <c r="O46" s="17"/>
      <c r="P46" s="1"/>
      <c r="Q46" s="2" t="s">
        <v>356</v>
      </c>
      <c r="R46" s="17"/>
      <c r="S46" s="1"/>
      <c r="T46" s="17"/>
      <c r="U46" s="1"/>
      <c r="V46" s="17"/>
      <c r="W46" s="1"/>
      <c r="X46" s="17"/>
      <c r="Y46" s="1"/>
      <c r="Z46" s="1"/>
      <c r="AA46" s="1"/>
      <c r="AB46" s="2" t="s">
        <v>331</v>
      </c>
      <c r="AC46" s="2" t="s">
        <v>357</v>
      </c>
      <c r="AD46" s="2" t="s">
        <v>358</v>
      </c>
      <c r="AE46" s="2" t="s">
        <v>359</v>
      </c>
      <c r="AF46" s="2" t="s">
        <v>360</v>
      </c>
      <c r="AG46" s="2" t="s">
        <v>71</v>
      </c>
      <c r="AH46" s="2" t="s">
        <v>361</v>
      </c>
      <c r="AI46" s="2" t="s">
        <v>362</v>
      </c>
      <c r="AJ46" s="2" t="s">
        <v>363</v>
      </c>
      <c r="AK46" s="2" t="s">
        <v>364</v>
      </c>
      <c r="AL46" s="2" t="s">
        <v>350</v>
      </c>
      <c r="AM46" s="2" t="s">
        <v>347</v>
      </c>
      <c r="AN46" s="2" t="s">
        <v>365</v>
      </c>
      <c r="AO46" s="4" t="s">
        <v>158</v>
      </c>
    </row>
    <row r="47" spans="1:41" ht="33" customHeight="1" x14ac:dyDescent="0.25">
      <c r="A47" s="2" t="s">
        <v>1185</v>
      </c>
      <c r="B47" s="2" t="s">
        <v>54</v>
      </c>
      <c r="C47" s="2" t="s">
        <v>1184</v>
      </c>
      <c r="D47" s="8">
        <v>1395450</v>
      </c>
      <c r="E47" s="15">
        <v>45881.540995370371</v>
      </c>
      <c r="F47" s="15">
        <v>46077</v>
      </c>
      <c r="G47" s="2" t="s">
        <v>57</v>
      </c>
      <c r="H47" s="11">
        <v>5547996475454</v>
      </c>
      <c r="I47" s="2" t="s">
        <v>1187</v>
      </c>
      <c r="J47" s="2" t="s">
        <v>1188</v>
      </c>
      <c r="K47" s="2" t="s">
        <v>1189</v>
      </c>
      <c r="L47" s="2" t="s">
        <v>125</v>
      </c>
      <c r="M47" s="15">
        <v>45911</v>
      </c>
      <c r="N47" s="2" t="s">
        <v>1190</v>
      </c>
      <c r="O47" s="15">
        <v>45930</v>
      </c>
      <c r="P47" s="2" t="s">
        <v>1191</v>
      </c>
      <c r="Q47" s="2" t="s">
        <v>1192</v>
      </c>
      <c r="R47" s="15">
        <v>45947</v>
      </c>
      <c r="S47" s="2" t="s">
        <v>1193</v>
      </c>
      <c r="T47" s="15">
        <v>45951</v>
      </c>
      <c r="U47" s="2" t="s">
        <v>1194</v>
      </c>
      <c r="V47" s="15">
        <v>45959</v>
      </c>
      <c r="W47" s="2" t="s">
        <v>1195</v>
      </c>
      <c r="X47" s="15">
        <v>45973</v>
      </c>
      <c r="Y47" s="2" t="s">
        <v>1196</v>
      </c>
      <c r="Z47" s="1"/>
      <c r="AA47" s="1"/>
      <c r="AB47" s="2" t="s">
        <v>1197</v>
      </c>
      <c r="AC47" s="1"/>
      <c r="AD47" s="1"/>
      <c r="AE47" s="1"/>
      <c r="AF47" s="1"/>
      <c r="AG47" s="2" t="s">
        <v>53</v>
      </c>
      <c r="AH47" s="2" t="s">
        <v>1198</v>
      </c>
      <c r="AI47" s="2" t="s">
        <v>1199</v>
      </c>
      <c r="AJ47" s="2" t="s">
        <v>1200</v>
      </c>
      <c r="AK47" s="2" t="s">
        <v>1144</v>
      </c>
      <c r="AL47" s="2" t="s">
        <v>1186</v>
      </c>
      <c r="AM47" s="2" t="s">
        <v>347</v>
      </c>
      <c r="AN47" s="2" t="s">
        <v>1201</v>
      </c>
      <c r="AO47" s="4" t="s">
        <v>154</v>
      </c>
    </row>
    <row r="48" spans="1:41" ht="33" customHeight="1" x14ac:dyDescent="0.25">
      <c r="A48" s="2" t="s">
        <v>676</v>
      </c>
      <c r="B48" s="2" t="s">
        <v>448</v>
      </c>
      <c r="C48" s="2" t="s">
        <v>675</v>
      </c>
      <c r="D48" s="8">
        <v>19300</v>
      </c>
      <c r="E48" s="15">
        <v>46036.691504629627</v>
      </c>
      <c r="F48" s="15">
        <v>46044</v>
      </c>
      <c r="G48" s="2" t="s">
        <v>45</v>
      </c>
      <c r="H48" s="11">
        <v>5511970418567</v>
      </c>
      <c r="I48" s="2" t="s">
        <v>678</v>
      </c>
      <c r="J48" s="2" t="s">
        <v>679</v>
      </c>
      <c r="K48" s="2" t="s">
        <v>680</v>
      </c>
      <c r="L48" s="2" t="s">
        <v>93</v>
      </c>
      <c r="M48" s="17"/>
      <c r="N48" s="1"/>
      <c r="O48" s="17"/>
      <c r="P48" s="1"/>
      <c r="Q48" s="2" t="s">
        <v>681</v>
      </c>
      <c r="R48" s="17"/>
      <c r="S48" s="1"/>
      <c r="T48" s="17"/>
      <c r="U48" s="1"/>
      <c r="V48" s="17"/>
      <c r="W48" s="1"/>
      <c r="X48" s="17"/>
      <c r="Y48" s="1"/>
      <c r="Z48" s="1"/>
      <c r="AA48" s="1"/>
      <c r="AB48" s="2" t="s">
        <v>633</v>
      </c>
      <c r="AC48" s="2" t="s">
        <v>682</v>
      </c>
      <c r="AD48" s="2" t="s">
        <v>683</v>
      </c>
      <c r="AE48" s="2" t="s">
        <v>684</v>
      </c>
      <c r="AF48" s="2" t="s">
        <v>685</v>
      </c>
      <c r="AG48" s="2" t="s">
        <v>257</v>
      </c>
      <c r="AH48" s="2" t="s">
        <v>686</v>
      </c>
      <c r="AI48" s="2" t="s">
        <v>687</v>
      </c>
      <c r="AJ48" s="2" t="s">
        <v>688</v>
      </c>
      <c r="AK48" s="2" t="s">
        <v>160</v>
      </c>
      <c r="AL48" s="2" t="s">
        <v>677</v>
      </c>
      <c r="AM48" s="2" t="s">
        <v>162</v>
      </c>
      <c r="AN48" s="2" t="s">
        <v>79</v>
      </c>
      <c r="AO48" s="4" t="s">
        <v>80</v>
      </c>
    </row>
    <row r="49" spans="1:41" ht="33" customHeight="1" x14ac:dyDescent="0.25">
      <c r="A49" s="2" t="s">
        <v>814</v>
      </c>
      <c r="B49" s="2" t="s">
        <v>98</v>
      </c>
      <c r="C49" s="2" t="s">
        <v>813</v>
      </c>
      <c r="D49" s="8">
        <v>55000</v>
      </c>
      <c r="E49" s="15">
        <v>46006.458854166667</v>
      </c>
      <c r="F49" s="15">
        <v>46104</v>
      </c>
      <c r="G49" s="2" t="s">
        <v>52</v>
      </c>
      <c r="H49" s="11">
        <v>5554991005007</v>
      </c>
      <c r="I49" s="2" t="s">
        <v>816</v>
      </c>
      <c r="J49" s="2" t="s">
        <v>817</v>
      </c>
      <c r="K49" s="2" t="s">
        <v>818</v>
      </c>
      <c r="L49" s="2" t="s">
        <v>46</v>
      </c>
      <c r="M49" s="15">
        <v>46035</v>
      </c>
      <c r="N49" s="2" t="s">
        <v>819</v>
      </c>
      <c r="O49" s="15">
        <v>46042</v>
      </c>
      <c r="P49" s="2" t="s">
        <v>820</v>
      </c>
      <c r="Q49" s="2" t="s">
        <v>821</v>
      </c>
      <c r="R49" s="15">
        <v>46076</v>
      </c>
      <c r="S49" s="2" t="s">
        <v>822</v>
      </c>
      <c r="T49" s="15">
        <v>46094</v>
      </c>
      <c r="U49" s="2" t="s">
        <v>823</v>
      </c>
      <c r="V49" s="17"/>
      <c r="W49" s="1"/>
      <c r="X49" s="17"/>
      <c r="Y49" s="1"/>
      <c r="Z49" s="1"/>
      <c r="AA49" s="2" t="s">
        <v>824</v>
      </c>
      <c r="AB49" s="2" t="s">
        <v>825</v>
      </c>
      <c r="AC49" s="2" t="s">
        <v>826</v>
      </c>
      <c r="AD49" s="2" t="s">
        <v>827</v>
      </c>
      <c r="AE49" s="2" t="s">
        <v>828</v>
      </c>
      <c r="AF49" s="2" t="s">
        <v>829</v>
      </c>
      <c r="AG49" s="2" t="s">
        <v>94</v>
      </c>
      <c r="AH49" s="2" t="s">
        <v>830</v>
      </c>
      <c r="AI49" s="2" t="s">
        <v>831</v>
      </c>
      <c r="AJ49" s="2" t="s">
        <v>832</v>
      </c>
      <c r="AK49" s="2" t="s">
        <v>97</v>
      </c>
      <c r="AL49" s="2" t="s">
        <v>815</v>
      </c>
      <c r="AM49" s="2" t="s">
        <v>592</v>
      </c>
      <c r="AN49" s="2" t="s">
        <v>833</v>
      </c>
      <c r="AO49" s="4" t="s">
        <v>80</v>
      </c>
    </row>
    <row r="50" spans="1:41" ht="33" customHeight="1" x14ac:dyDescent="0.25">
      <c r="A50" s="2" t="s">
        <v>836</v>
      </c>
      <c r="B50" s="2" t="s">
        <v>51</v>
      </c>
      <c r="C50" s="2" t="s">
        <v>835</v>
      </c>
      <c r="D50" s="8">
        <v>34650</v>
      </c>
      <c r="E50" s="15">
        <v>46001.609548611108</v>
      </c>
      <c r="F50" s="15">
        <v>46062</v>
      </c>
      <c r="G50" s="2" t="s">
        <v>57</v>
      </c>
      <c r="H50" s="11">
        <f>555534219103 +5555991675158</f>
        <v>6111525894261</v>
      </c>
      <c r="I50" s="2" t="s">
        <v>838</v>
      </c>
      <c r="J50" s="2" t="s">
        <v>839</v>
      </c>
      <c r="K50" s="2" t="s">
        <v>840</v>
      </c>
      <c r="L50" s="2" t="s">
        <v>62</v>
      </c>
      <c r="M50" s="15">
        <v>46029</v>
      </c>
      <c r="N50" s="2" t="s">
        <v>841</v>
      </c>
      <c r="O50" s="15">
        <v>46038</v>
      </c>
      <c r="P50" s="2" t="s">
        <v>842</v>
      </c>
      <c r="Q50" s="2" t="s">
        <v>843</v>
      </c>
      <c r="R50" s="17"/>
      <c r="S50" s="1"/>
      <c r="T50" s="17"/>
      <c r="U50" s="1"/>
      <c r="V50" s="17"/>
      <c r="W50" s="1"/>
      <c r="X50" s="17"/>
      <c r="Y50" s="1"/>
      <c r="Z50" s="1"/>
      <c r="AA50" s="1"/>
      <c r="AB50" s="2" t="s">
        <v>293</v>
      </c>
      <c r="AC50" s="2" t="s">
        <v>844</v>
      </c>
      <c r="AD50" s="2" t="s">
        <v>845</v>
      </c>
      <c r="AE50" s="2" t="s">
        <v>783</v>
      </c>
      <c r="AF50" s="2" t="s">
        <v>784</v>
      </c>
      <c r="AG50" s="2" t="s">
        <v>71</v>
      </c>
      <c r="AH50" s="2" t="s">
        <v>846</v>
      </c>
      <c r="AI50" s="2" t="s">
        <v>847</v>
      </c>
      <c r="AJ50" s="2" t="s">
        <v>848</v>
      </c>
      <c r="AK50" s="2" t="s">
        <v>469</v>
      </c>
      <c r="AL50" s="2" t="s">
        <v>837</v>
      </c>
      <c r="AM50" s="2" t="s">
        <v>90</v>
      </c>
      <c r="AN50" s="2" t="s">
        <v>849</v>
      </c>
      <c r="AO50" s="4" t="s">
        <v>282</v>
      </c>
    </row>
    <row r="51" spans="1:41" ht="33" customHeight="1" x14ac:dyDescent="0.25">
      <c r="A51" s="2" t="s">
        <v>101</v>
      </c>
      <c r="B51" s="2" t="s">
        <v>51</v>
      </c>
      <c r="C51" s="2" t="s">
        <v>100</v>
      </c>
      <c r="D51" s="8">
        <v>21200</v>
      </c>
      <c r="E51" s="15">
        <v>46126.663483796299</v>
      </c>
      <c r="F51" s="15">
        <v>46146</v>
      </c>
      <c r="G51" s="2" t="s">
        <v>57</v>
      </c>
      <c r="H51" s="11">
        <v>5565992652133</v>
      </c>
      <c r="I51" s="2" t="s">
        <v>104</v>
      </c>
      <c r="J51" s="2" t="s">
        <v>105</v>
      </c>
      <c r="K51" s="2" t="s">
        <v>106</v>
      </c>
      <c r="L51" s="2" t="s">
        <v>107</v>
      </c>
      <c r="M51" s="15">
        <v>46134</v>
      </c>
      <c r="N51" s="2" t="s">
        <v>108</v>
      </c>
      <c r="O51" s="15">
        <v>46142</v>
      </c>
      <c r="P51" s="2" t="s">
        <v>109</v>
      </c>
      <c r="Q51" s="2" t="s">
        <v>110</v>
      </c>
      <c r="R51" s="17"/>
      <c r="S51" s="1"/>
      <c r="T51" s="17"/>
      <c r="U51" s="1"/>
      <c r="V51" s="17"/>
      <c r="W51" s="1"/>
      <c r="X51" s="17"/>
      <c r="Y51" s="1"/>
      <c r="Z51" s="1"/>
      <c r="AA51" s="1"/>
      <c r="AB51" s="2" t="s">
        <v>103</v>
      </c>
      <c r="AC51" s="2" t="s">
        <v>111</v>
      </c>
      <c r="AD51" s="2" t="s">
        <v>112</v>
      </c>
      <c r="AE51" s="2" t="s">
        <v>113</v>
      </c>
      <c r="AF51" s="2" t="s">
        <v>114</v>
      </c>
      <c r="AG51" s="2" t="s">
        <v>71</v>
      </c>
      <c r="AH51" s="2" t="s">
        <v>115</v>
      </c>
      <c r="AI51" s="2" t="s">
        <v>116</v>
      </c>
      <c r="AJ51" s="2" t="s">
        <v>117</v>
      </c>
      <c r="AK51" s="2" t="s">
        <v>118</v>
      </c>
      <c r="AL51" s="2" t="s">
        <v>102</v>
      </c>
      <c r="AM51" s="2" t="s">
        <v>119</v>
      </c>
      <c r="AN51" s="1"/>
      <c r="AO51" s="3"/>
    </row>
    <row r="52" spans="1:41" ht="33" customHeight="1" x14ac:dyDescent="0.25">
      <c r="A52" s="2" t="s">
        <v>165</v>
      </c>
      <c r="B52" s="2" t="s">
        <v>51</v>
      </c>
      <c r="C52" s="2" t="s">
        <v>164</v>
      </c>
      <c r="D52" s="8">
        <v>35000</v>
      </c>
      <c r="E52" s="15">
        <v>46097.835810185185</v>
      </c>
      <c r="F52" s="15">
        <v>46146</v>
      </c>
      <c r="G52" s="2" t="s">
        <v>57</v>
      </c>
      <c r="H52" s="11">
        <v>5531996317526</v>
      </c>
      <c r="I52" s="2" t="s">
        <v>167</v>
      </c>
      <c r="J52" s="2" t="s">
        <v>168</v>
      </c>
      <c r="K52" s="2" t="s">
        <v>169</v>
      </c>
      <c r="L52" s="2" t="s">
        <v>107</v>
      </c>
      <c r="M52" s="15">
        <v>46112</v>
      </c>
      <c r="N52" s="2" t="s">
        <v>170</v>
      </c>
      <c r="O52" s="15">
        <v>46127</v>
      </c>
      <c r="P52" s="2" t="s">
        <v>171</v>
      </c>
      <c r="Q52" s="2" t="s">
        <v>172</v>
      </c>
      <c r="R52" s="17"/>
      <c r="S52" s="1"/>
      <c r="T52" s="17"/>
      <c r="U52" s="1"/>
      <c r="V52" s="17"/>
      <c r="W52" s="1"/>
      <c r="X52" s="17"/>
      <c r="Y52" s="1"/>
      <c r="Z52" s="1"/>
      <c r="AA52" s="1"/>
      <c r="AB52" s="2" t="s">
        <v>173</v>
      </c>
      <c r="AC52" s="2" t="s">
        <v>174</v>
      </c>
      <c r="AD52" s="2" t="s">
        <v>175</v>
      </c>
      <c r="AE52" s="2" t="s">
        <v>176</v>
      </c>
      <c r="AF52" s="2" t="s">
        <v>177</v>
      </c>
      <c r="AG52" s="2" t="s">
        <v>53</v>
      </c>
      <c r="AH52" s="2" t="s">
        <v>178</v>
      </c>
      <c r="AI52" s="2" t="s">
        <v>179</v>
      </c>
      <c r="AJ52" s="2" t="s">
        <v>180</v>
      </c>
      <c r="AK52" s="2" t="s">
        <v>76</v>
      </c>
      <c r="AL52" s="2" t="s">
        <v>166</v>
      </c>
      <c r="AM52" s="2" t="s">
        <v>181</v>
      </c>
      <c r="AN52" s="2" t="s">
        <v>163</v>
      </c>
      <c r="AO52" s="4" t="s">
        <v>80</v>
      </c>
    </row>
    <row r="53" spans="1:41" ht="33" customHeight="1" x14ac:dyDescent="0.25">
      <c r="A53" s="2" t="s">
        <v>1029</v>
      </c>
      <c r="B53" s="2" t="s">
        <v>51</v>
      </c>
      <c r="C53" s="2" t="s">
        <v>1028</v>
      </c>
      <c r="D53" s="8">
        <v>34650</v>
      </c>
      <c r="E53" s="15">
        <v>45951.424467592595</v>
      </c>
      <c r="F53" s="15">
        <v>46146</v>
      </c>
      <c r="G53" s="2" t="s">
        <v>42</v>
      </c>
      <c r="H53" s="11">
        <v>5555999889978</v>
      </c>
      <c r="I53" s="2" t="s">
        <v>1031</v>
      </c>
      <c r="J53" s="2" t="s">
        <v>1032</v>
      </c>
      <c r="K53" s="2" t="s">
        <v>1033</v>
      </c>
      <c r="L53" s="2" t="s">
        <v>62</v>
      </c>
      <c r="M53" s="15">
        <v>45958</v>
      </c>
      <c r="N53" s="2" t="s">
        <v>1034</v>
      </c>
      <c r="O53" s="15">
        <v>45972</v>
      </c>
      <c r="P53" s="2" t="s">
        <v>1035</v>
      </c>
      <c r="Q53" s="2" t="s">
        <v>1036</v>
      </c>
      <c r="R53" s="17"/>
      <c r="S53" s="1"/>
      <c r="T53" s="17"/>
      <c r="U53" s="1"/>
      <c r="V53" s="17"/>
      <c r="W53" s="1"/>
      <c r="X53" s="15">
        <v>46076</v>
      </c>
      <c r="Y53" s="2" t="s">
        <v>1037</v>
      </c>
      <c r="Z53" s="1"/>
      <c r="AA53" s="1"/>
      <c r="AB53" s="2" t="s">
        <v>1038</v>
      </c>
      <c r="AC53" s="2" t="s">
        <v>1039</v>
      </c>
      <c r="AD53" s="2" t="s">
        <v>1040</v>
      </c>
      <c r="AE53" s="2" t="s">
        <v>1041</v>
      </c>
      <c r="AF53" s="2" t="s">
        <v>1042</v>
      </c>
      <c r="AG53" s="2" t="s">
        <v>53</v>
      </c>
      <c r="AH53" s="2" t="s">
        <v>1043</v>
      </c>
      <c r="AI53" s="2" t="s">
        <v>1044</v>
      </c>
      <c r="AJ53" s="2" t="s">
        <v>1045</v>
      </c>
      <c r="AK53" s="2" t="s">
        <v>726</v>
      </c>
      <c r="AL53" s="2" t="s">
        <v>1030</v>
      </c>
      <c r="AM53" s="2" t="s">
        <v>1046</v>
      </c>
      <c r="AN53" s="2" t="s">
        <v>1047</v>
      </c>
      <c r="AO53" s="4" t="s">
        <v>282</v>
      </c>
    </row>
    <row r="54" spans="1:41" ht="33" customHeight="1" x14ac:dyDescent="0.25">
      <c r="A54" s="2" t="s">
        <v>1079</v>
      </c>
      <c r="B54" s="2" t="s">
        <v>41</v>
      </c>
      <c r="C54" s="2" t="s">
        <v>40</v>
      </c>
      <c r="D54" s="8">
        <v>82500</v>
      </c>
      <c r="E54" s="15">
        <v>45937.614710648151</v>
      </c>
      <c r="F54" s="15">
        <v>46108</v>
      </c>
      <c r="G54" s="2" t="s">
        <v>45</v>
      </c>
      <c r="H54" s="11">
        <v>5531998169033</v>
      </c>
      <c r="I54" s="2" t="s">
        <v>1081</v>
      </c>
      <c r="J54" s="2" t="s">
        <v>1082</v>
      </c>
      <c r="K54" s="2" t="s">
        <v>1083</v>
      </c>
      <c r="L54" s="2" t="s">
        <v>46</v>
      </c>
      <c r="M54" s="15">
        <v>45958</v>
      </c>
      <c r="N54" s="2" t="s">
        <v>1084</v>
      </c>
      <c r="O54" s="15">
        <v>45959</v>
      </c>
      <c r="P54" s="2" t="s">
        <v>1085</v>
      </c>
      <c r="Q54" s="2" t="s">
        <v>1086</v>
      </c>
      <c r="R54" s="15">
        <v>45966</v>
      </c>
      <c r="S54" s="2" t="s">
        <v>1087</v>
      </c>
      <c r="T54" s="15">
        <v>45988</v>
      </c>
      <c r="U54" s="2" t="s">
        <v>1088</v>
      </c>
      <c r="V54" s="15">
        <v>46065</v>
      </c>
      <c r="W54" s="2" t="s">
        <v>1089</v>
      </c>
      <c r="X54" s="17"/>
      <c r="Y54" s="1"/>
      <c r="Z54" s="1"/>
      <c r="AA54" s="1"/>
      <c r="AB54" s="2" t="s">
        <v>1027</v>
      </c>
      <c r="AC54" s="2" t="s">
        <v>1090</v>
      </c>
      <c r="AD54" s="2" t="s">
        <v>1091</v>
      </c>
      <c r="AE54" s="2" t="s">
        <v>1092</v>
      </c>
      <c r="AF54" s="2" t="s">
        <v>1093</v>
      </c>
      <c r="AG54" s="2" t="s">
        <v>53</v>
      </c>
      <c r="AH54" s="2" t="s">
        <v>1094</v>
      </c>
      <c r="AI54" s="2" t="s">
        <v>1095</v>
      </c>
      <c r="AJ54" s="2" t="s">
        <v>1096</v>
      </c>
      <c r="AK54" s="2" t="s">
        <v>219</v>
      </c>
      <c r="AL54" s="2" t="s">
        <v>1080</v>
      </c>
      <c r="AM54" s="2" t="s">
        <v>553</v>
      </c>
      <c r="AN54" s="2" t="s">
        <v>1097</v>
      </c>
      <c r="AO54" s="4" t="s">
        <v>158</v>
      </c>
    </row>
    <row r="55" spans="1:41" ht="33" customHeight="1" x14ac:dyDescent="0.25">
      <c r="A55" s="2" t="s">
        <v>1014</v>
      </c>
      <c r="B55" s="2" t="s">
        <v>54</v>
      </c>
      <c r="C55" s="2" t="s">
        <v>331</v>
      </c>
      <c r="D55" s="8">
        <v>82500</v>
      </c>
      <c r="E55" s="15">
        <v>45958.664699074077</v>
      </c>
      <c r="F55" s="15">
        <v>46098</v>
      </c>
      <c r="G55" s="2" t="s">
        <v>42</v>
      </c>
      <c r="H55" s="11">
        <v>5544998225252</v>
      </c>
      <c r="I55" s="2" t="s">
        <v>92</v>
      </c>
      <c r="J55" s="2" t="s">
        <v>1016</v>
      </c>
      <c r="K55" s="2" t="s">
        <v>1017</v>
      </c>
      <c r="L55" s="2" t="s">
        <v>46</v>
      </c>
      <c r="M55" s="15">
        <v>45967</v>
      </c>
      <c r="N55" s="2" t="s">
        <v>1018</v>
      </c>
      <c r="O55" s="15">
        <v>46036</v>
      </c>
      <c r="P55" s="2" t="s">
        <v>1019</v>
      </c>
      <c r="Q55" s="2" t="s">
        <v>1020</v>
      </c>
      <c r="R55" s="15">
        <v>46062</v>
      </c>
      <c r="S55" s="2" t="s">
        <v>1021</v>
      </c>
      <c r="T55" s="15">
        <v>46077</v>
      </c>
      <c r="U55" s="2" t="s">
        <v>1022</v>
      </c>
      <c r="V55" s="17"/>
      <c r="W55" s="1"/>
      <c r="X55" s="17"/>
      <c r="Y55" s="1"/>
      <c r="Z55" s="1"/>
      <c r="AA55" s="1"/>
      <c r="AB55" s="2" t="s">
        <v>331</v>
      </c>
      <c r="AC55" s="2" t="s">
        <v>92</v>
      </c>
      <c r="AD55" s="2" t="s">
        <v>92</v>
      </c>
      <c r="AE55" s="2" t="s">
        <v>92</v>
      </c>
      <c r="AF55" s="2" t="s">
        <v>92</v>
      </c>
      <c r="AG55" s="2" t="s">
        <v>1023</v>
      </c>
      <c r="AH55" s="2" t="s">
        <v>1024</v>
      </c>
      <c r="AI55" s="2" t="s">
        <v>1025</v>
      </c>
      <c r="AJ55" s="2" t="s">
        <v>1026</v>
      </c>
      <c r="AK55" s="2" t="s">
        <v>97</v>
      </c>
      <c r="AL55" s="2" t="s">
        <v>1015</v>
      </c>
      <c r="AM55" s="2" t="s">
        <v>343</v>
      </c>
      <c r="AN55" s="2" t="s">
        <v>868</v>
      </c>
      <c r="AO55" s="4" t="s">
        <v>202</v>
      </c>
    </row>
    <row r="56" spans="1:41" ht="33" customHeight="1" x14ac:dyDescent="0.25">
      <c r="A56" s="2" t="s">
        <v>1131</v>
      </c>
      <c r="B56" s="2" t="s">
        <v>41</v>
      </c>
      <c r="C56" s="2" t="s">
        <v>1130</v>
      </c>
      <c r="D56" s="8">
        <v>28500</v>
      </c>
      <c r="E56" s="15">
        <v>45902.593819444446</v>
      </c>
      <c r="F56" s="15">
        <v>46028</v>
      </c>
      <c r="G56" s="2" t="s">
        <v>57</v>
      </c>
      <c r="H56" s="11">
        <v>5511984216469</v>
      </c>
      <c r="I56" s="2" t="s">
        <v>1133</v>
      </c>
      <c r="J56" s="2" t="s">
        <v>1134</v>
      </c>
      <c r="K56" s="2" t="s">
        <v>1135</v>
      </c>
      <c r="L56" s="2" t="s">
        <v>107</v>
      </c>
      <c r="M56" s="15">
        <v>45938</v>
      </c>
      <c r="N56" s="2" t="s">
        <v>1136</v>
      </c>
      <c r="O56" s="15">
        <v>45946</v>
      </c>
      <c r="P56" s="2" t="s">
        <v>1137</v>
      </c>
      <c r="Q56" s="2" t="s">
        <v>1138</v>
      </c>
      <c r="R56" s="15">
        <v>45953</v>
      </c>
      <c r="S56" s="2" t="s">
        <v>1139</v>
      </c>
      <c r="T56" s="15">
        <v>45967</v>
      </c>
      <c r="U56" s="2" t="s">
        <v>1140</v>
      </c>
      <c r="V56" s="17"/>
      <c r="W56" s="1"/>
      <c r="X56" s="17"/>
      <c r="Y56" s="1"/>
      <c r="Z56" s="1"/>
      <c r="AA56" s="1"/>
      <c r="AB56" s="1"/>
      <c r="AC56" s="1"/>
      <c r="AD56" s="1"/>
      <c r="AE56" s="1"/>
      <c r="AF56" s="1"/>
      <c r="AG56" s="2" t="s">
        <v>53</v>
      </c>
      <c r="AH56" s="2" t="s">
        <v>1141</v>
      </c>
      <c r="AI56" s="2" t="s">
        <v>1142</v>
      </c>
      <c r="AJ56" s="2" t="s">
        <v>1143</v>
      </c>
      <c r="AK56" s="2" t="s">
        <v>1144</v>
      </c>
      <c r="AL56" s="2" t="s">
        <v>1132</v>
      </c>
      <c r="AM56" s="2" t="s">
        <v>834</v>
      </c>
      <c r="AN56" s="2" t="s">
        <v>79</v>
      </c>
      <c r="AO56" s="4" t="s">
        <v>80</v>
      </c>
    </row>
    <row r="57" spans="1:41" ht="33" customHeight="1" x14ac:dyDescent="0.25">
      <c r="A57" s="2" t="s">
        <v>659</v>
      </c>
      <c r="B57" s="2" t="s">
        <v>41</v>
      </c>
      <c r="C57" s="2" t="s">
        <v>658</v>
      </c>
      <c r="D57" s="8">
        <v>36000</v>
      </c>
      <c r="E57" s="15">
        <v>46038.40828703704</v>
      </c>
      <c r="F57" s="15">
        <v>46043</v>
      </c>
      <c r="G57" s="2" t="s">
        <v>52</v>
      </c>
      <c r="H57" s="11">
        <v>556599426264</v>
      </c>
      <c r="I57" s="2" t="s">
        <v>662</v>
      </c>
      <c r="J57" s="2" t="s">
        <v>663</v>
      </c>
      <c r="K57" s="2" t="s">
        <v>664</v>
      </c>
      <c r="L57" s="2" t="s">
        <v>83</v>
      </c>
      <c r="M57" s="17"/>
      <c r="N57" s="1"/>
      <c r="O57" s="17"/>
      <c r="P57" s="1"/>
      <c r="Q57" s="2" t="s">
        <v>665</v>
      </c>
      <c r="R57" s="17"/>
      <c r="S57" s="1"/>
      <c r="T57" s="17"/>
      <c r="U57" s="1"/>
      <c r="V57" s="17"/>
      <c r="W57" s="1"/>
      <c r="X57" s="17"/>
      <c r="Y57" s="1"/>
      <c r="Z57" s="1"/>
      <c r="AA57" s="1"/>
      <c r="AB57" s="2" t="s">
        <v>666</v>
      </c>
      <c r="AC57" s="2" t="s">
        <v>667</v>
      </c>
      <c r="AD57" s="2" t="s">
        <v>668</v>
      </c>
      <c r="AE57" s="2" t="s">
        <v>669</v>
      </c>
      <c r="AF57" s="2" t="s">
        <v>670</v>
      </c>
      <c r="AG57" s="2" t="s">
        <v>71</v>
      </c>
      <c r="AH57" s="2" t="s">
        <v>671</v>
      </c>
      <c r="AI57" s="2" t="s">
        <v>660</v>
      </c>
      <c r="AJ57" s="1"/>
      <c r="AK57" s="1"/>
      <c r="AL57" s="2" t="s">
        <v>661</v>
      </c>
      <c r="AM57" s="2" t="s">
        <v>672</v>
      </c>
      <c r="AN57" s="2" t="s">
        <v>673</v>
      </c>
      <c r="AO57" s="4" t="s">
        <v>91</v>
      </c>
    </row>
    <row r="58" spans="1:41" ht="33" customHeight="1" x14ac:dyDescent="0.25">
      <c r="A58" s="2" t="s">
        <v>901</v>
      </c>
      <c r="B58" s="2" t="s">
        <v>41</v>
      </c>
      <c r="C58" s="2" t="s">
        <v>900</v>
      </c>
      <c r="D58" s="8">
        <v>10000</v>
      </c>
      <c r="E58" s="15">
        <v>45979.663217592592</v>
      </c>
      <c r="F58" s="15">
        <v>46056</v>
      </c>
      <c r="G58" s="2" t="s">
        <v>52</v>
      </c>
      <c r="H58" s="11" t="s">
        <v>904</v>
      </c>
      <c r="I58" s="2" t="s">
        <v>905</v>
      </c>
      <c r="J58" s="2" t="s">
        <v>906</v>
      </c>
      <c r="K58" s="2" t="s">
        <v>907</v>
      </c>
      <c r="L58" s="2" t="s">
        <v>125</v>
      </c>
      <c r="M58" s="15">
        <v>46000</v>
      </c>
      <c r="N58" s="2" t="s">
        <v>908</v>
      </c>
      <c r="O58" s="15">
        <v>46003</v>
      </c>
      <c r="P58" s="2" t="s">
        <v>909</v>
      </c>
      <c r="Q58" s="2" t="s">
        <v>910</v>
      </c>
      <c r="R58" s="17"/>
      <c r="S58" s="1"/>
      <c r="T58" s="17"/>
      <c r="U58" s="1"/>
      <c r="V58" s="17"/>
      <c r="W58" s="1"/>
      <c r="X58" s="17"/>
      <c r="Y58" s="1"/>
      <c r="Z58" s="1"/>
      <c r="AA58" s="1"/>
      <c r="AB58" s="2" t="s">
        <v>619</v>
      </c>
      <c r="AC58" s="1"/>
      <c r="AD58" s="1"/>
      <c r="AE58" s="1"/>
      <c r="AF58" s="1"/>
      <c r="AG58" s="2" t="s">
        <v>85</v>
      </c>
      <c r="AH58" s="2" t="s">
        <v>911</v>
      </c>
      <c r="AI58" s="2" t="s">
        <v>902</v>
      </c>
      <c r="AJ58" s="1"/>
      <c r="AK58" s="1"/>
      <c r="AL58" s="2" t="s">
        <v>903</v>
      </c>
      <c r="AM58" s="2" t="s">
        <v>157</v>
      </c>
      <c r="AN58" s="2" t="s">
        <v>79</v>
      </c>
      <c r="AO58" s="4" t="s">
        <v>80</v>
      </c>
    </row>
    <row r="59" spans="1:41" ht="33" customHeight="1" x14ac:dyDescent="0.25">
      <c r="A59" s="2" t="s">
        <v>120</v>
      </c>
      <c r="B59" s="2" t="s">
        <v>51</v>
      </c>
      <c r="C59" s="2" t="s">
        <v>120</v>
      </c>
      <c r="D59" s="8">
        <v>37940</v>
      </c>
      <c r="E59" s="15">
        <v>46119.606435185182</v>
      </c>
      <c r="F59" s="15">
        <v>46156</v>
      </c>
      <c r="G59" s="2" t="s">
        <v>57</v>
      </c>
      <c r="H59" s="11">
        <v>5565996031841</v>
      </c>
      <c r="I59" s="2" t="s">
        <v>122</v>
      </c>
      <c r="J59" s="2" t="s">
        <v>123</v>
      </c>
      <c r="K59" s="2" t="s">
        <v>124</v>
      </c>
      <c r="L59" s="2" t="s">
        <v>125</v>
      </c>
      <c r="M59" s="15">
        <v>46146</v>
      </c>
      <c r="N59" s="2" t="s">
        <v>126</v>
      </c>
      <c r="O59" s="17"/>
      <c r="P59" s="1"/>
      <c r="Q59" s="2" t="s">
        <v>127</v>
      </c>
      <c r="R59" s="17"/>
      <c r="S59" s="1"/>
      <c r="T59" s="17"/>
      <c r="U59" s="1"/>
      <c r="V59" s="17"/>
      <c r="W59" s="1"/>
      <c r="X59" s="17"/>
      <c r="Y59" s="1"/>
      <c r="Z59" s="1"/>
      <c r="AA59" s="2" t="s">
        <v>128</v>
      </c>
      <c r="AB59" s="2" t="s">
        <v>129</v>
      </c>
      <c r="AC59" s="2" t="s">
        <v>130</v>
      </c>
      <c r="AD59" s="2" t="s">
        <v>131</v>
      </c>
      <c r="AE59" s="2" t="s">
        <v>132</v>
      </c>
      <c r="AF59" s="2" t="s">
        <v>133</v>
      </c>
      <c r="AG59" s="2" t="s">
        <v>89</v>
      </c>
      <c r="AH59" s="2" t="s">
        <v>134</v>
      </c>
      <c r="AI59" s="2" t="s">
        <v>135</v>
      </c>
      <c r="AJ59" s="2" t="s">
        <v>136</v>
      </c>
      <c r="AK59" s="1"/>
      <c r="AL59" s="2" t="s">
        <v>121</v>
      </c>
      <c r="AM59" s="2" t="s">
        <v>90</v>
      </c>
      <c r="AN59" s="2" t="s">
        <v>137</v>
      </c>
      <c r="AO59" s="4" t="s">
        <v>91</v>
      </c>
    </row>
    <row r="60" spans="1:41" ht="33" customHeight="1" x14ac:dyDescent="0.25">
      <c r="A60" s="2" t="s">
        <v>710</v>
      </c>
      <c r="B60" s="2" t="s">
        <v>78</v>
      </c>
      <c r="C60" s="2" t="s">
        <v>709</v>
      </c>
      <c r="D60" s="8">
        <v>17215</v>
      </c>
      <c r="E60" s="15">
        <v>46034.70380787037</v>
      </c>
      <c r="F60" s="15">
        <v>46065</v>
      </c>
      <c r="G60" s="2" t="s">
        <v>45</v>
      </c>
      <c r="H60" s="11">
        <v>5531997422422</v>
      </c>
      <c r="I60" s="2" t="s">
        <v>712</v>
      </c>
      <c r="J60" s="2" t="s">
        <v>713</v>
      </c>
      <c r="K60" s="2" t="s">
        <v>714</v>
      </c>
      <c r="L60" s="2" t="s">
        <v>125</v>
      </c>
      <c r="M60" s="15">
        <v>46037</v>
      </c>
      <c r="N60" s="2" t="s">
        <v>715</v>
      </c>
      <c r="O60" s="15">
        <v>46042</v>
      </c>
      <c r="P60" s="2" t="s">
        <v>716</v>
      </c>
      <c r="Q60" s="2" t="s">
        <v>717</v>
      </c>
      <c r="R60" s="15">
        <v>46051</v>
      </c>
      <c r="S60" s="2" t="s">
        <v>718</v>
      </c>
      <c r="T60" s="17"/>
      <c r="U60" s="1"/>
      <c r="V60" s="17"/>
      <c r="W60" s="1"/>
      <c r="X60" s="17"/>
      <c r="Y60" s="1"/>
      <c r="Z60" s="2" t="s">
        <v>92</v>
      </c>
      <c r="AA60" s="1"/>
      <c r="AB60" s="2" t="s">
        <v>719</v>
      </c>
      <c r="AC60" s="2" t="s">
        <v>720</v>
      </c>
      <c r="AD60" s="2" t="s">
        <v>43</v>
      </c>
      <c r="AE60" s="2" t="s">
        <v>721</v>
      </c>
      <c r="AF60" s="2" t="s">
        <v>722</v>
      </c>
      <c r="AG60" s="2" t="s">
        <v>85</v>
      </c>
      <c r="AH60" s="2" t="s">
        <v>723</v>
      </c>
      <c r="AI60" s="2" t="s">
        <v>724</v>
      </c>
      <c r="AJ60" s="2" t="s">
        <v>725</v>
      </c>
      <c r="AK60" s="2" t="s">
        <v>726</v>
      </c>
      <c r="AL60" s="2" t="s">
        <v>711</v>
      </c>
      <c r="AM60" s="2" t="s">
        <v>727</v>
      </c>
      <c r="AN60" s="2" t="s">
        <v>728</v>
      </c>
      <c r="AO60" s="4" t="s">
        <v>158</v>
      </c>
    </row>
    <row r="61" spans="1:41" ht="33" customHeight="1" x14ac:dyDescent="0.25">
      <c r="A61" s="2" t="s">
        <v>485</v>
      </c>
      <c r="B61" s="2" t="s">
        <v>51</v>
      </c>
      <c r="C61" s="2" t="s">
        <v>484</v>
      </c>
      <c r="D61" s="8">
        <v>29500</v>
      </c>
      <c r="E61" s="15">
        <v>46056.674375000002</v>
      </c>
      <c r="F61" s="15">
        <v>46084</v>
      </c>
      <c r="G61" s="2" t="s">
        <v>57</v>
      </c>
      <c r="H61" s="11" t="s">
        <v>488</v>
      </c>
      <c r="I61" s="2" t="s">
        <v>489</v>
      </c>
      <c r="J61" s="2" t="s">
        <v>490</v>
      </c>
      <c r="K61" s="2" t="s">
        <v>491</v>
      </c>
      <c r="L61" s="2" t="s">
        <v>125</v>
      </c>
      <c r="M61" s="15">
        <v>46071</v>
      </c>
      <c r="N61" s="2" t="s">
        <v>492</v>
      </c>
      <c r="O61" s="17"/>
      <c r="P61" s="1"/>
      <c r="Q61" s="2" t="s">
        <v>493</v>
      </c>
      <c r="R61" s="17"/>
      <c r="S61" s="1"/>
      <c r="T61" s="17"/>
      <c r="U61" s="1"/>
      <c r="V61" s="17"/>
      <c r="W61" s="1"/>
      <c r="X61" s="17"/>
      <c r="Y61" s="1"/>
      <c r="Z61" s="2" t="s">
        <v>494</v>
      </c>
      <c r="AA61" s="1"/>
      <c r="AB61" s="2" t="s">
        <v>495</v>
      </c>
      <c r="AC61" s="2" t="s">
        <v>496</v>
      </c>
      <c r="AD61" s="2" t="s">
        <v>497</v>
      </c>
      <c r="AE61" s="2" t="s">
        <v>498</v>
      </c>
      <c r="AF61" s="2" t="s">
        <v>499</v>
      </c>
      <c r="AG61" s="2" t="s">
        <v>94</v>
      </c>
      <c r="AH61" s="2" t="s">
        <v>500</v>
      </c>
      <c r="AI61" s="2" t="s">
        <v>486</v>
      </c>
      <c r="AJ61" s="1"/>
      <c r="AK61" s="1"/>
      <c r="AL61" s="2" t="s">
        <v>487</v>
      </c>
      <c r="AM61" s="2" t="s">
        <v>90</v>
      </c>
      <c r="AN61" s="2" t="s">
        <v>501</v>
      </c>
      <c r="AO61" s="4" t="s">
        <v>91</v>
      </c>
    </row>
    <row r="62" spans="1:41" ht="33" customHeight="1" x14ac:dyDescent="0.25">
      <c r="A62" s="2" t="s">
        <v>453</v>
      </c>
      <c r="B62" s="2" t="s">
        <v>51</v>
      </c>
      <c r="C62" s="2" t="s">
        <v>452</v>
      </c>
      <c r="D62" s="8">
        <v>211766</v>
      </c>
      <c r="E62" s="15">
        <v>46058.694513888891</v>
      </c>
      <c r="F62" s="15">
        <v>46084</v>
      </c>
      <c r="G62" s="2" t="s">
        <v>57</v>
      </c>
      <c r="H62" s="11">
        <v>5533320800</v>
      </c>
      <c r="I62" s="2" t="s">
        <v>455</v>
      </c>
      <c r="J62" s="2" t="s">
        <v>456</v>
      </c>
      <c r="K62" s="2" t="s">
        <v>457</v>
      </c>
      <c r="L62" s="2" t="s">
        <v>125</v>
      </c>
      <c r="M62" s="15">
        <v>46071</v>
      </c>
      <c r="N62" s="2" t="s">
        <v>458</v>
      </c>
      <c r="O62" s="15">
        <v>46083</v>
      </c>
      <c r="P62" s="2" t="s">
        <v>459</v>
      </c>
      <c r="Q62" s="2" t="s">
        <v>460</v>
      </c>
      <c r="R62" s="17"/>
      <c r="S62" s="1"/>
      <c r="T62" s="17"/>
      <c r="U62" s="1"/>
      <c r="V62" s="17"/>
      <c r="W62" s="1"/>
      <c r="X62" s="17"/>
      <c r="Y62" s="1"/>
      <c r="Z62" s="1"/>
      <c r="AA62" s="1"/>
      <c r="AB62" s="2" t="s">
        <v>461</v>
      </c>
      <c r="AC62" s="2" t="s">
        <v>462</v>
      </c>
      <c r="AD62" s="2" t="s">
        <v>463</v>
      </c>
      <c r="AE62" s="2" t="s">
        <v>464</v>
      </c>
      <c r="AF62" s="2" t="s">
        <v>465</v>
      </c>
      <c r="AG62" s="2" t="s">
        <v>342</v>
      </c>
      <c r="AH62" s="2" t="s">
        <v>466</v>
      </c>
      <c r="AI62" s="2" t="s">
        <v>467</v>
      </c>
      <c r="AJ62" s="2" t="s">
        <v>468</v>
      </c>
      <c r="AK62" s="2" t="s">
        <v>469</v>
      </c>
      <c r="AL62" s="2" t="s">
        <v>454</v>
      </c>
      <c r="AM62" s="2" t="s">
        <v>90</v>
      </c>
      <c r="AN62" s="2" t="s">
        <v>470</v>
      </c>
      <c r="AO62" s="4" t="s">
        <v>282</v>
      </c>
    </row>
    <row r="63" spans="1:41" ht="33" customHeight="1" x14ac:dyDescent="0.25">
      <c r="A63" s="2" t="s">
        <v>244</v>
      </c>
      <c r="B63" s="2" t="s">
        <v>51</v>
      </c>
      <c r="C63" s="2" t="s">
        <v>244</v>
      </c>
      <c r="D63" s="8">
        <v>17215</v>
      </c>
      <c r="E63" s="15">
        <v>46092.551655092589</v>
      </c>
      <c r="F63" s="15">
        <v>46118</v>
      </c>
      <c r="G63" s="2" t="s">
        <v>45</v>
      </c>
      <c r="H63" s="11">
        <v>554935234400</v>
      </c>
      <c r="I63" s="2" t="s">
        <v>246</v>
      </c>
      <c r="J63" s="2" t="s">
        <v>247</v>
      </c>
      <c r="K63" s="2" t="s">
        <v>248</v>
      </c>
      <c r="L63" s="2" t="s">
        <v>125</v>
      </c>
      <c r="M63" s="15">
        <v>46106</v>
      </c>
      <c r="N63" s="2" t="s">
        <v>249</v>
      </c>
      <c r="O63" s="15">
        <v>46112</v>
      </c>
      <c r="P63" s="2" t="s">
        <v>250</v>
      </c>
      <c r="Q63" s="2" t="s">
        <v>251</v>
      </c>
      <c r="R63" s="17"/>
      <c r="S63" s="1"/>
      <c r="T63" s="17"/>
      <c r="U63" s="1"/>
      <c r="V63" s="17"/>
      <c r="W63" s="1"/>
      <c r="X63" s="17"/>
      <c r="Y63" s="1"/>
      <c r="Z63" s="1"/>
      <c r="AA63" s="1"/>
      <c r="AB63" s="2" t="s">
        <v>252</v>
      </c>
      <c r="AC63" s="2" t="s">
        <v>253</v>
      </c>
      <c r="AD63" s="2" t="s">
        <v>254</v>
      </c>
      <c r="AE63" s="2" t="s">
        <v>255</v>
      </c>
      <c r="AF63" s="2" t="s">
        <v>256</v>
      </c>
      <c r="AG63" s="2" t="s">
        <v>257</v>
      </c>
      <c r="AH63" s="2" t="s">
        <v>258</v>
      </c>
      <c r="AI63" s="2" t="s">
        <v>259</v>
      </c>
      <c r="AJ63" s="2" t="s">
        <v>260</v>
      </c>
      <c r="AK63" s="2" t="s">
        <v>97</v>
      </c>
      <c r="AL63" s="2" t="s">
        <v>245</v>
      </c>
      <c r="AM63" s="2" t="s">
        <v>261</v>
      </c>
      <c r="AN63" s="2" t="s">
        <v>262</v>
      </c>
      <c r="AO63" s="4" t="s">
        <v>154</v>
      </c>
    </row>
    <row r="64" spans="1:41" ht="33" customHeight="1" x14ac:dyDescent="0.25">
      <c r="A64" s="2" t="s">
        <v>524</v>
      </c>
      <c r="B64" s="2" t="s">
        <v>51</v>
      </c>
      <c r="C64" s="2" t="s">
        <v>523</v>
      </c>
      <c r="D64" s="8">
        <v>29870</v>
      </c>
      <c r="E64" s="15">
        <v>46051.468553240738</v>
      </c>
      <c r="F64" s="15">
        <v>46090</v>
      </c>
      <c r="G64" s="2" t="s">
        <v>42</v>
      </c>
      <c r="H64" s="11">
        <v>1108872556012</v>
      </c>
      <c r="I64" s="2" t="s">
        <v>526</v>
      </c>
      <c r="J64" s="2" t="s">
        <v>527</v>
      </c>
      <c r="K64" s="2" t="s">
        <v>528</v>
      </c>
      <c r="L64" s="2" t="s">
        <v>62</v>
      </c>
      <c r="M64" s="15">
        <v>46062</v>
      </c>
      <c r="N64" s="2" t="s">
        <v>529</v>
      </c>
      <c r="O64" s="17"/>
      <c r="P64" s="1"/>
      <c r="Q64" s="2" t="s">
        <v>530</v>
      </c>
      <c r="R64" s="17"/>
      <c r="S64" s="1"/>
      <c r="T64" s="17"/>
      <c r="U64" s="1"/>
      <c r="V64" s="17"/>
      <c r="W64" s="1"/>
      <c r="X64" s="17"/>
      <c r="Y64" s="1"/>
      <c r="Z64" s="1"/>
      <c r="AA64" s="2" t="s">
        <v>531</v>
      </c>
      <c r="AB64" s="2" t="s">
        <v>523</v>
      </c>
      <c r="AC64" s="2" t="s">
        <v>532</v>
      </c>
      <c r="AD64" s="2" t="s">
        <v>533</v>
      </c>
      <c r="AE64" s="2" t="s">
        <v>534</v>
      </c>
      <c r="AF64" s="2" t="s">
        <v>535</v>
      </c>
      <c r="AG64" s="2" t="s">
        <v>257</v>
      </c>
      <c r="AH64" s="2" t="s">
        <v>536</v>
      </c>
      <c r="AI64" s="2" t="s">
        <v>537</v>
      </c>
      <c r="AJ64" s="2" t="s">
        <v>538</v>
      </c>
      <c r="AK64" s="2" t="s">
        <v>95</v>
      </c>
      <c r="AL64" s="2" t="s">
        <v>525</v>
      </c>
      <c r="AM64" s="2" t="s">
        <v>157</v>
      </c>
      <c r="AN64" s="2" t="s">
        <v>539</v>
      </c>
      <c r="AO64" s="4" t="s">
        <v>202</v>
      </c>
    </row>
    <row r="65" spans="1:41" ht="33" customHeight="1" x14ac:dyDescent="0.25">
      <c r="A65" s="2" t="s">
        <v>595</v>
      </c>
      <c r="B65" s="2" t="s">
        <v>41</v>
      </c>
      <c r="C65" s="2" t="s">
        <v>159</v>
      </c>
      <c r="D65" s="8">
        <v>24915</v>
      </c>
      <c r="E65" s="15">
        <v>46039.421249999999</v>
      </c>
      <c r="F65" s="15">
        <v>46059</v>
      </c>
      <c r="G65" s="2" t="s">
        <v>45</v>
      </c>
      <c r="H65" s="11">
        <f>5511950271886 +5511950271886</f>
        <v>11023900543772</v>
      </c>
      <c r="I65" s="2" t="s">
        <v>597</v>
      </c>
      <c r="J65" s="2" t="s">
        <v>598</v>
      </c>
      <c r="K65" s="2" t="s">
        <v>599</v>
      </c>
      <c r="L65" s="2" t="s">
        <v>125</v>
      </c>
      <c r="M65" s="15">
        <v>46051</v>
      </c>
      <c r="N65" s="2" t="s">
        <v>600</v>
      </c>
      <c r="O65" s="17"/>
      <c r="P65" s="1"/>
      <c r="Q65" s="2" t="s">
        <v>601</v>
      </c>
      <c r="R65" s="17"/>
      <c r="S65" s="1"/>
      <c r="T65" s="17"/>
      <c r="U65" s="1"/>
      <c r="V65" s="17"/>
      <c r="W65" s="1"/>
      <c r="X65" s="17"/>
      <c r="Y65" s="1"/>
      <c r="Z65" s="1"/>
      <c r="AA65" s="1"/>
      <c r="AB65" s="2" t="s">
        <v>366</v>
      </c>
      <c r="AC65" s="2" t="s">
        <v>602</v>
      </c>
      <c r="AD65" s="2" t="s">
        <v>603</v>
      </c>
      <c r="AE65" s="2" t="s">
        <v>604</v>
      </c>
      <c r="AF65" s="2" t="s">
        <v>605</v>
      </c>
      <c r="AG65" s="2" t="s">
        <v>85</v>
      </c>
      <c r="AH65" s="2" t="s">
        <v>606</v>
      </c>
      <c r="AI65" s="2" t="s">
        <v>607</v>
      </c>
      <c r="AJ65" s="2" t="s">
        <v>608</v>
      </c>
      <c r="AK65" s="2" t="s">
        <v>97</v>
      </c>
      <c r="AL65" s="2" t="s">
        <v>596</v>
      </c>
      <c r="AM65" s="2" t="s">
        <v>609</v>
      </c>
      <c r="AN65" s="2" t="s">
        <v>610</v>
      </c>
      <c r="AO65" s="4" t="s">
        <v>80</v>
      </c>
    </row>
    <row r="66" spans="1:41" ht="33" customHeight="1" x14ac:dyDescent="0.25">
      <c r="A66" s="1" t="s">
        <v>1248</v>
      </c>
      <c r="B66" s="2" t="s">
        <v>98</v>
      </c>
      <c r="C66" s="2" t="s">
        <v>471</v>
      </c>
      <c r="D66" s="8">
        <v>330000</v>
      </c>
      <c r="E66" s="15">
        <v>46058.432557870372</v>
      </c>
      <c r="F66" s="15">
        <v>46104</v>
      </c>
      <c r="G66" s="2" t="s">
        <v>45</v>
      </c>
      <c r="H66" s="11">
        <v>5531996476212</v>
      </c>
      <c r="I66" s="2" t="s">
        <v>472</v>
      </c>
      <c r="J66" s="2" t="s">
        <v>473</v>
      </c>
      <c r="K66" s="2" t="s">
        <v>474</v>
      </c>
      <c r="L66" s="2" t="s">
        <v>48</v>
      </c>
      <c r="M66" s="15">
        <v>46085</v>
      </c>
      <c r="N66" s="2" t="s">
        <v>475</v>
      </c>
      <c r="O66" s="17"/>
      <c r="P66" s="1"/>
      <c r="Q66" s="2" t="s">
        <v>476</v>
      </c>
      <c r="R66" s="17"/>
      <c r="S66" s="1"/>
      <c r="T66" s="17"/>
      <c r="U66" s="1"/>
      <c r="V66" s="17"/>
      <c r="W66" s="1"/>
      <c r="X66" s="17"/>
      <c r="Y66" s="1"/>
      <c r="Z66" s="1"/>
      <c r="AA66" s="1"/>
      <c r="AB66" s="2" t="s">
        <v>368</v>
      </c>
      <c r="AC66" s="2" t="s">
        <v>477</v>
      </c>
      <c r="AD66" s="2" t="s">
        <v>478</v>
      </c>
      <c r="AE66" s="2" t="s">
        <v>479</v>
      </c>
      <c r="AF66" s="2" t="s">
        <v>480</v>
      </c>
      <c r="AG66" s="2" t="s">
        <v>53</v>
      </c>
      <c r="AH66" s="2" t="s">
        <v>481</v>
      </c>
      <c r="AI66" s="1"/>
      <c r="AJ66" s="1"/>
      <c r="AK66" s="1"/>
      <c r="AL66" s="1"/>
      <c r="AM66" s="1"/>
      <c r="AN66" s="1"/>
      <c r="AO66" s="3"/>
    </row>
    <row r="67" spans="1:41" ht="33" customHeight="1" x14ac:dyDescent="0.25">
      <c r="A67" s="1" t="s">
        <v>1249</v>
      </c>
      <c r="B67" s="2" t="s">
        <v>98</v>
      </c>
      <c r="C67" s="2" t="s">
        <v>541</v>
      </c>
      <c r="D67" s="8">
        <v>354000</v>
      </c>
      <c r="E67" s="15">
        <v>46049.353356481479</v>
      </c>
      <c r="F67" s="15">
        <v>46062</v>
      </c>
      <c r="G67" s="2" t="s">
        <v>45</v>
      </c>
      <c r="H67" s="11">
        <v>5551984242531</v>
      </c>
      <c r="I67" s="2" t="s">
        <v>543</v>
      </c>
      <c r="J67" s="2" t="s">
        <v>544</v>
      </c>
      <c r="K67" s="2" t="s">
        <v>545</v>
      </c>
      <c r="L67" s="2" t="s">
        <v>48</v>
      </c>
      <c r="M67" s="17"/>
      <c r="N67" s="1"/>
      <c r="O67" s="17"/>
      <c r="P67" s="1"/>
      <c r="Q67" s="2" t="s">
        <v>546</v>
      </c>
      <c r="R67" s="17"/>
      <c r="S67" s="1"/>
      <c r="T67" s="17"/>
      <c r="U67" s="1"/>
      <c r="V67" s="17"/>
      <c r="W67" s="1"/>
      <c r="X67" s="17"/>
      <c r="Y67" s="1"/>
      <c r="Z67" s="1"/>
      <c r="AA67" s="2" t="s">
        <v>547</v>
      </c>
      <c r="AB67" s="2" t="s">
        <v>368</v>
      </c>
      <c r="AC67" s="2" t="s">
        <v>548</v>
      </c>
      <c r="AD67" s="2" t="s">
        <v>549</v>
      </c>
      <c r="AE67" s="2" t="s">
        <v>550</v>
      </c>
      <c r="AF67" s="2" t="s">
        <v>551</v>
      </c>
      <c r="AG67" s="2" t="s">
        <v>257</v>
      </c>
      <c r="AH67" s="2" t="s">
        <v>552</v>
      </c>
      <c r="AI67" s="1"/>
      <c r="AJ67" s="1"/>
      <c r="AK67" s="1"/>
      <c r="AL67" s="2" t="s">
        <v>542</v>
      </c>
      <c r="AM67" s="1"/>
      <c r="AN67" s="1"/>
      <c r="AO67" s="3"/>
    </row>
    <row r="68" spans="1:41" ht="33" customHeight="1" x14ac:dyDescent="0.25">
      <c r="A68" s="1" t="s">
        <v>386</v>
      </c>
      <c r="B68" s="2" t="s">
        <v>98</v>
      </c>
      <c r="C68" s="2" t="s">
        <v>386</v>
      </c>
      <c r="D68" s="8">
        <v>24000</v>
      </c>
      <c r="E68" s="15">
        <v>46065.458645833336</v>
      </c>
      <c r="F68" s="15">
        <v>46078</v>
      </c>
      <c r="G68" s="2" t="s">
        <v>47</v>
      </c>
      <c r="H68" s="11">
        <v>554198085517</v>
      </c>
      <c r="I68" s="2" t="s">
        <v>388</v>
      </c>
      <c r="J68" s="2" t="s">
        <v>389</v>
      </c>
      <c r="K68" s="2" t="s">
        <v>390</v>
      </c>
      <c r="L68" s="2" t="s">
        <v>46</v>
      </c>
      <c r="M68" s="17"/>
      <c r="N68" s="1"/>
      <c r="O68" s="17"/>
      <c r="P68" s="1"/>
      <c r="Q68" s="2" t="s">
        <v>391</v>
      </c>
      <c r="R68" s="17"/>
      <c r="S68" s="1"/>
      <c r="T68" s="17"/>
      <c r="U68" s="1"/>
      <c r="V68" s="17"/>
      <c r="W68" s="1"/>
      <c r="X68" s="17"/>
      <c r="Y68" s="1"/>
      <c r="Z68" s="1"/>
      <c r="AA68" s="2" t="s">
        <v>392</v>
      </c>
      <c r="AB68" s="2" t="s">
        <v>331</v>
      </c>
      <c r="AC68" s="2" t="s">
        <v>393</v>
      </c>
      <c r="AD68" s="2" t="s">
        <v>394</v>
      </c>
      <c r="AE68" s="2" t="s">
        <v>395</v>
      </c>
      <c r="AF68" s="2" t="s">
        <v>396</v>
      </c>
      <c r="AG68" s="2" t="s">
        <v>257</v>
      </c>
      <c r="AH68" s="2" t="s">
        <v>397</v>
      </c>
      <c r="AI68" s="1"/>
      <c r="AJ68" s="1"/>
      <c r="AK68" s="1"/>
      <c r="AL68" s="2" t="s">
        <v>387</v>
      </c>
      <c r="AM68" s="1"/>
      <c r="AN68" s="1"/>
      <c r="AO68" s="3"/>
    </row>
  </sheetData>
  <pageMargins left="0.78740157499999996" right="0.78740157499999996" top="0.984251969" bottom="0.984251969" header="0.4921259845" footer="0.4921259845"/>
  <pageSetup paperSize="9"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Fabiano Silva</dc:creator>
  <cp:lastModifiedBy>Fabiano Silva</cp:lastModifiedBy>
  <dcterms:created xsi:type="dcterms:W3CDTF">2026-06-04T14:20:11Z</dcterms:created>
  <dcterms:modified xsi:type="dcterms:W3CDTF">2026-06-04T15:33:58Z</dcterms:modified>
</cp:coreProperties>
</file>